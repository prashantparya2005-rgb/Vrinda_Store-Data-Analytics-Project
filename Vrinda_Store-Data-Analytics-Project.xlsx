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0CE5BFB7-353B-4CB7-A746-FB30576774DC}" xr6:coauthVersionLast="47" xr6:coauthVersionMax="47" xr10:uidLastSave="{00000000-0000-0000-0000-000000000000}"/>
  <bookViews>
    <workbookView xWindow="-120" yWindow="-120" windowWidth="20730" windowHeight="11040" tabRatio="890" xr2:uid="{00000000-000D-0000-FFFF-FFFF00000000}"/>
  </bookViews>
  <sheets>
    <sheet name="Vrinda Store Report 2026" sheetId="7" r:id="rId1"/>
    <sheet name="Sales Vs Order" sheetId="6" r:id="rId2"/>
    <sheet name="Men Va Women" sheetId="8" r:id="rId3"/>
    <sheet name="Order Status" sheetId="11" r:id="rId4"/>
    <sheet name="Top 5 States" sheetId="12" r:id="rId5"/>
    <sheet name="Order Age Vs Gender" sheetId="13" r:id="rId6"/>
    <sheet name="ordwe channel" sheetId="15" r:id="rId7"/>
    <sheet name="Sheet" sheetId="1" r:id="rId8"/>
  </sheets>
  <definedNames>
    <definedName name="Slicer_Category">#N/A</definedName>
    <definedName name="Slicer_Channel">#N/A</definedName>
    <definedName name="Slicer_month">#N/A</definedName>
  </definedNames>
  <calcPr calcId="191029"/>
  <pivotCaches>
    <pivotCache cacheId="2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alcChain>
</file>

<file path=xl/sharedStrings.xml><?xml version="1.0" encoding="utf-8"?>
<sst xmlns="http://schemas.openxmlformats.org/spreadsheetml/2006/main" count="7051" uniqueCount="1046">
  <si>
    <t>Index</t>
  </si>
  <si>
    <t>Order ID</t>
  </si>
  <si>
    <t>Cust ID</t>
  </si>
  <si>
    <t>Gender</t>
  </si>
  <si>
    <t>Status</t>
  </si>
  <si>
    <t>Channel</t>
  </si>
  <si>
    <t>SKU</t>
  </si>
  <si>
    <t>Category</t>
  </si>
  <si>
    <t>Size</t>
  </si>
  <si>
    <t>Qty</t>
  </si>
  <si>
    <t>Currency</t>
  </si>
  <si>
    <t>Amount</t>
  </si>
  <si>
    <t>Ship-City</t>
  </si>
  <si>
    <t>Ship-State</t>
  </si>
  <si>
    <t>Ship-Postal-Code</t>
  </si>
  <si>
    <t>Ship-Country</t>
  </si>
  <si>
    <t>B2B</t>
  </si>
  <si>
    <t>562-6252798-1877448</t>
  </si>
  <si>
    <t>Women</t>
  </si>
  <si>
    <t>04-12-2022</t>
  </si>
  <si>
    <t>Delivered</t>
  </si>
  <si>
    <t>Myntra</t>
  </si>
  <si>
    <t>SKU9969</t>
  </si>
  <si>
    <t>Set</t>
  </si>
  <si>
    <t>XXL</t>
  </si>
  <si>
    <t>INR</t>
  </si>
  <si>
    <t>Mohali</t>
  </si>
  <si>
    <t>Punjab</t>
  </si>
  <si>
    <t>160055</t>
  </si>
  <si>
    <t>India</t>
  </si>
  <si>
    <t>Yes</t>
  </si>
  <si>
    <t>658-8212112-9272359</t>
  </si>
  <si>
    <t>Men</t>
  </si>
  <si>
    <t>Amazon</t>
  </si>
  <si>
    <t>SKU7883</t>
  </si>
  <si>
    <t>XL</t>
  </si>
  <si>
    <t>Gurugram</t>
  </si>
  <si>
    <t>Haryana</t>
  </si>
  <si>
    <t>122001</t>
  </si>
  <si>
    <t>598-7339469-2235777</t>
  </si>
  <si>
    <t>Ajio</t>
  </si>
  <si>
    <t>SKU5781</t>
  </si>
  <si>
    <t>Top</t>
  </si>
  <si>
    <t>No</t>
  </si>
  <si>
    <t>188-3617951-2934708</t>
  </si>
  <si>
    <t>Flipkart</t>
  </si>
  <si>
    <t>SKU2882</t>
  </si>
  <si>
    <t>M</t>
  </si>
  <si>
    <t>923-8629334-7151243</t>
  </si>
  <si>
    <t>SKU6042</t>
  </si>
  <si>
    <t>S</t>
  </si>
  <si>
    <t>723-2165204-5075291</t>
  </si>
  <si>
    <t>SKU3746</t>
  </si>
  <si>
    <t>Bengaluru</t>
  </si>
  <si>
    <t>Karnataka</t>
  </si>
  <si>
    <t>560001</t>
  </si>
  <si>
    <t>803-1911056-5183686</t>
  </si>
  <si>
    <t>SKU9316</t>
  </si>
  <si>
    <t>Kurta</t>
  </si>
  <si>
    <t>895-2616109-9942789</t>
  </si>
  <si>
    <t>SKU5860</t>
  </si>
  <si>
    <t>799-4538951-2587616</t>
  </si>
  <si>
    <t>SKU1268</t>
  </si>
  <si>
    <t>Kolkata</t>
  </si>
  <si>
    <t>West Bengal</t>
  </si>
  <si>
    <t>700001</t>
  </si>
  <si>
    <t>378-9894500-2313871</t>
  </si>
  <si>
    <t>SKU3571</t>
  </si>
  <si>
    <t>478-1632237-9098592</t>
  </si>
  <si>
    <t>SKU2409</t>
  </si>
  <si>
    <t>147-5830243-9381650</t>
  </si>
  <si>
    <t>SKU2908</t>
  </si>
  <si>
    <t>143-4658129-2673565</t>
  </si>
  <si>
    <t>SKU4632</t>
  </si>
  <si>
    <t>537-1352460-1486376</t>
  </si>
  <si>
    <t>SKU4003</t>
  </si>
  <si>
    <t>L</t>
  </si>
  <si>
    <t>365-7310840-2344388</t>
  </si>
  <si>
    <t>SKU4800</t>
  </si>
  <si>
    <t>547-8703233-9623455</t>
  </si>
  <si>
    <t>SKU5206</t>
  </si>
  <si>
    <t>461-2689135-1517167</t>
  </si>
  <si>
    <t>SKU1829</t>
  </si>
  <si>
    <t>513-2086112-6708080</t>
  </si>
  <si>
    <t>SKU6963</t>
  </si>
  <si>
    <t>559-5221718-6134459</t>
  </si>
  <si>
    <t>SKU3085</t>
  </si>
  <si>
    <t>918-7849792-7296268</t>
  </si>
  <si>
    <t>SKU2207</t>
  </si>
  <si>
    <t>911-3578621-8416746</t>
  </si>
  <si>
    <t>SKU4259</t>
  </si>
  <si>
    <t>578-5671662-5845186</t>
  </si>
  <si>
    <t>SKU5472</t>
  </si>
  <si>
    <t>231-9467686-3655286</t>
  </si>
  <si>
    <t>SKU3533</t>
  </si>
  <si>
    <t>650-5000768-3144682</t>
  </si>
  <si>
    <t>SKU6612</t>
  </si>
  <si>
    <t>559-8542214-4213623</t>
  </si>
  <si>
    <t>SKU2670</t>
  </si>
  <si>
    <t>379-3598136-8312856</t>
  </si>
  <si>
    <t>SKU3621</t>
  </si>
  <si>
    <t>209-2159966-3397216</t>
  </si>
  <si>
    <t>SKU7888</t>
  </si>
  <si>
    <t>722-4647456-6544559</t>
  </si>
  <si>
    <t>SKU1460</t>
  </si>
  <si>
    <t>135-1403304-6252446</t>
  </si>
  <si>
    <t>SKU9464</t>
  </si>
  <si>
    <t>567-2081481-8807945</t>
  </si>
  <si>
    <t>SKU3817</t>
  </si>
  <si>
    <t>916-6649860-6500393</t>
  </si>
  <si>
    <t>SKU1262</t>
  </si>
  <si>
    <t>539-6662281-5318386</t>
  </si>
  <si>
    <t>SKU7764</t>
  </si>
  <si>
    <t>238-1352744-1970790</t>
  </si>
  <si>
    <t>SKU5708</t>
  </si>
  <si>
    <t>780-2716614-9763210</t>
  </si>
  <si>
    <t>SKU9162</t>
  </si>
  <si>
    <t>827-5570023-1671783</t>
  </si>
  <si>
    <t>SKU6466</t>
  </si>
  <si>
    <t>695-3082017-7750134</t>
  </si>
  <si>
    <t>SKU2429</t>
  </si>
  <si>
    <t>859-3189986-3578853</t>
  </si>
  <si>
    <t>SKU2650</t>
  </si>
  <si>
    <t>489-9660807-9287540</t>
  </si>
  <si>
    <t>SKU1464</t>
  </si>
  <si>
    <t>424-9829561-4006389</t>
  </si>
  <si>
    <t>SKU1654</t>
  </si>
  <si>
    <t>914-3036886-3953316</t>
  </si>
  <si>
    <t>SKU4649</t>
  </si>
  <si>
    <t>910-1105438-1788261</t>
  </si>
  <si>
    <t>SKU8726</t>
  </si>
  <si>
    <t>924-7380188-5959994</t>
  </si>
  <si>
    <t>SKU2902</t>
  </si>
  <si>
    <t>680-9853669-7173398</t>
  </si>
  <si>
    <t>SKU1747</t>
  </si>
  <si>
    <t>282-6695092-8730564</t>
  </si>
  <si>
    <t>SKU7932</t>
  </si>
  <si>
    <t>976-7312689-5519788</t>
  </si>
  <si>
    <t>SKU1049</t>
  </si>
  <si>
    <t>762-5934208-5874198</t>
  </si>
  <si>
    <t>SKU9494</t>
  </si>
  <si>
    <t>192-9574163-2887171</t>
  </si>
  <si>
    <t>SKU8873</t>
  </si>
  <si>
    <t>764-8715776-5139124</t>
  </si>
  <si>
    <t>SKU3474</t>
  </si>
  <si>
    <t>683-2306162-2328128</t>
  </si>
  <si>
    <t>SKU4300</t>
  </si>
  <si>
    <t>143-2210110-9122127</t>
  </si>
  <si>
    <t>SKU3763</t>
  </si>
  <si>
    <t>927-8402375-8206785</t>
  </si>
  <si>
    <t>SKU5159</t>
  </si>
  <si>
    <t>459-3459157-8098716</t>
  </si>
  <si>
    <t>SKU6798</t>
  </si>
  <si>
    <t>685-4727899-7710040</t>
  </si>
  <si>
    <t>SKU7600</t>
  </si>
  <si>
    <t>290-1853288-3900073</t>
  </si>
  <si>
    <t>SKU7560</t>
  </si>
  <si>
    <t>561-3337995-4205276</t>
  </si>
  <si>
    <t>SKU6844</t>
  </si>
  <si>
    <t>236-4720225-7437883</t>
  </si>
  <si>
    <t>SKU9322</t>
  </si>
  <si>
    <t>375-7181893-4695858</t>
  </si>
  <si>
    <t>SKU6231</t>
  </si>
  <si>
    <t>932-3853375-3276006</t>
  </si>
  <si>
    <t>SKU3624</t>
  </si>
  <si>
    <t>477-6141496-9554444</t>
  </si>
  <si>
    <t>SKU6411</t>
  </si>
  <si>
    <t>690-2968899-6325264</t>
  </si>
  <si>
    <t>SKU9889</t>
  </si>
  <si>
    <t>412-7038305-3300121</t>
  </si>
  <si>
    <t>SKU6323</t>
  </si>
  <si>
    <t>633-5929118-3401535</t>
  </si>
  <si>
    <t>SKU3017</t>
  </si>
  <si>
    <t>878-3947638-4188213</t>
  </si>
  <si>
    <t>SKU7017</t>
  </si>
  <si>
    <t>860-7151903-4515841</t>
  </si>
  <si>
    <t>SKU5883</t>
  </si>
  <si>
    <t>694-7208622-7510911</t>
  </si>
  <si>
    <t>SKU3367</t>
  </si>
  <si>
    <t>474-7449354-9534421</t>
  </si>
  <si>
    <t>SKU5934</t>
  </si>
  <si>
    <t>424-8661058-7510181</t>
  </si>
  <si>
    <t>SKU1467</t>
  </si>
  <si>
    <t>891-5008926-7784970</t>
  </si>
  <si>
    <t>SKU7333</t>
  </si>
  <si>
    <t>804-1696317-7114859</t>
  </si>
  <si>
    <t>SKU5998</t>
  </si>
  <si>
    <t>306-4973124-3309084</t>
  </si>
  <si>
    <t>SKU6468</t>
  </si>
  <si>
    <t>725-9855488-2756089</t>
  </si>
  <si>
    <t>SKU2816</t>
  </si>
  <si>
    <t>896-7283426-5318560</t>
  </si>
  <si>
    <t>SKU5603</t>
  </si>
  <si>
    <t>332-4637125-8402542</t>
  </si>
  <si>
    <t>SKU9988</t>
  </si>
  <si>
    <t>378-3625525-8167860</t>
  </si>
  <si>
    <t>SKU1102</t>
  </si>
  <si>
    <t>308-1625496-6189555</t>
  </si>
  <si>
    <t>SKU9250</t>
  </si>
  <si>
    <t>995-1567379-3057797</t>
  </si>
  <si>
    <t>SKU1696</t>
  </si>
  <si>
    <t>413-7412524-3010507</t>
  </si>
  <si>
    <t>SKU2685</t>
  </si>
  <si>
    <t>133-3517114-8660789</t>
  </si>
  <si>
    <t>SKU4161</t>
  </si>
  <si>
    <t>496-5553567-5702438</t>
  </si>
  <si>
    <t>SKU2343</t>
  </si>
  <si>
    <t>518-3425307-4282361</t>
  </si>
  <si>
    <t>SKU5324</t>
  </si>
  <si>
    <t>159-8991184-7534461</t>
  </si>
  <si>
    <t>SKU9811</t>
  </si>
  <si>
    <t>177-1719537-5925810</t>
  </si>
  <si>
    <t>SKU1492</t>
  </si>
  <si>
    <t>535-8099082-2520778</t>
  </si>
  <si>
    <t>SKU8029</t>
  </si>
  <si>
    <t>886-1680891-4080253</t>
  </si>
  <si>
    <t>SKU8191</t>
  </si>
  <si>
    <t>349-1182546-1873290</t>
  </si>
  <si>
    <t>SKU2234</t>
  </si>
  <si>
    <t>454-9936783-9686636</t>
  </si>
  <si>
    <t>SKU2584</t>
  </si>
  <si>
    <t>504-4521359-5632111</t>
  </si>
  <si>
    <t>SKU4339</t>
  </si>
  <si>
    <t>130-1816119-7458643</t>
  </si>
  <si>
    <t>SKU9606</t>
  </si>
  <si>
    <t>711-4843099-4110528</t>
  </si>
  <si>
    <t>SKU7722</t>
  </si>
  <si>
    <t>836-2287611-1700519</t>
  </si>
  <si>
    <t>SKU1768</t>
  </si>
  <si>
    <t>968-8175422-4969085</t>
  </si>
  <si>
    <t>SKU5256</t>
  </si>
  <si>
    <t>305-6739867-7528391</t>
  </si>
  <si>
    <t>SKU3277</t>
  </si>
  <si>
    <t>491-3113457-6356683</t>
  </si>
  <si>
    <t>SKU1424</t>
  </si>
  <si>
    <t>583-7767077-2806686</t>
  </si>
  <si>
    <t>SKU2883</t>
  </si>
  <si>
    <t>800-3307889-7421923</t>
  </si>
  <si>
    <t>555-2030457-5701579</t>
  </si>
  <si>
    <t>SKU5505</t>
  </si>
  <si>
    <t>562-5857506-2031349</t>
  </si>
  <si>
    <t>SKU2783</t>
  </si>
  <si>
    <t>556-4747871-3653082</t>
  </si>
  <si>
    <t>SKU9908</t>
  </si>
  <si>
    <t>719-5312870-7111495</t>
  </si>
  <si>
    <t>SKU6260</t>
  </si>
  <si>
    <t>101-3682597-8829896</t>
  </si>
  <si>
    <t>SKU1805</t>
  </si>
  <si>
    <t>197-5595960-8721722</t>
  </si>
  <si>
    <t>SKU9987</t>
  </si>
  <si>
    <t>667-8979199-2779892</t>
  </si>
  <si>
    <t>SKU6431</t>
  </si>
  <si>
    <t>725-9874682-8097296</t>
  </si>
  <si>
    <t>SKU3859</t>
  </si>
  <si>
    <t>629-8521279-3618603</t>
  </si>
  <si>
    <t>SKU1795</t>
  </si>
  <si>
    <t>828-6250185-3636730</t>
  </si>
  <si>
    <t>SKU8142</t>
  </si>
  <si>
    <t>433-4296910-6225216</t>
  </si>
  <si>
    <t>SKU7475</t>
  </si>
  <si>
    <t>119-9327686-4656254</t>
  </si>
  <si>
    <t>SKU9265</t>
  </si>
  <si>
    <t>467-7686516-5054709</t>
  </si>
  <si>
    <t>SKU9583</t>
  </si>
  <si>
    <t>640-2635543-5974040</t>
  </si>
  <si>
    <t>SKU1902</t>
  </si>
  <si>
    <t>870-2445164-9789502</t>
  </si>
  <si>
    <t>SKU9633</t>
  </si>
  <si>
    <t>144-5610475-4842085</t>
  </si>
  <si>
    <t>SKU8948</t>
  </si>
  <si>
    <t>464-7250070-8862002</t>
  </si>
  <si>
    <t>SKU4276</t>
  </si>
  <si>
    <t>868-1230020-1692603</t>
  </si>
  <si>
    <t>SKU8583</t>
  </si>
  <si>
    <t>384-9590331-2949364</t>
  </si>
  <si>
    <t>SKU9664</t>
  </si>
  <si>
    <t>827-5232042-3008778</t>
  </si>
  <si>
    <t>SKU3697</t>
  </si>
  <si>
    <t>921-8623472-1636608</t>
  </si>
  <si>
    <t>868-7727637-7737171</t>
  </si>
  <si>
    <t>SKU7394</t>
  </si>
  <si>
    <t>505-4132404-9288282</t>
  </si>
  <si>
    <t>SKU8356</t>
  </si>
  <si>
    <t>891-1558043-9840089</t>
  </si>
  <si>
    <t>SKU4820</t>
  </si>
  <si>
    <t>915-2349175-3860701</t>
  </si>
  <si>
    <t>841-8487966-9767272</t>
  </si>
  <si>
    <t>SKU8291</t>
  </si>
  <si>
    <t>456-7200642-2448902</t>
  </si>
  <si>
    <t>SKU1520</t>
  </si>
  <si>
    <t>295-3429368-3530480</t>
  </si>
  <si>
    <t>SKU5312</t>
  </si>
  <si>
    <t>752-2291277-2895174</t>
  </si>
  <si>
    <t>SKU9410</t>
  </si>
  <si>
    <t>499-9586262-3947274</t>
  </si>
  <si>
    <t>SKU7749</t>
  </si>
  <si>
    <t>232-6446232-5164259</t>
  </si>
  <si>
    <t>SKU5318</t>
  </si>
  <si>
    <t>818-2217622-3728633</t>
  </si>
  <si>
    <t>SKU5464</t>
  </si>
  <si>
    <t>893-2028061-3057550</t>
  </si>
  <si>
    <t>SKU6817</t>
  </si>
  <si>
    <t>908-1311005-5690590</t>
  </si>
  <si>
    <t>SKU8821</t>
  </si>
  <si>
    <t>848-9839484-6211417</t>
  </si>
  <si>
    <t>SKU6699</t>
  </si>
  <si>
    <t>636-7173272-9546625</t>
  </si>
  <si>
    <t>SKU4888</t>
  </si>
  <si>
    <t>770-6823619-9041235</t>
  </si>
  <si>
    <t>SKU1545</t>
  </si>
  <si>
    <t>200-2429172-1404236</t>
  </si>
  <si>
    <t>SKU6877</t>
  </si>
  <si>
    <t>993-6205099-6803072</t>
  </si>
  <si>
    <t>SKU2754</t>
  </si>
  <si>
    <t>207-7559308-9581357</t>
  </si>
  <si>
    <t>SKU7619</t>
  </si>
  <si>
    <t>513-7205217-2496476</t>
  </si>
  <si>
    <t>SKU7856</t>
  </si>
  <si>
    <t>566-3255905-6005906</t>
  </si>
  <si>
    <t>SKU6490</t>
  </si>
  <si>
    <t>273-5139902-1978243</t>
  </si>
  <si>
    <t>SKU5428</t>
  </si>
  <si>
    <t>754-1738225-7319760</t>
  </si>
  <si>
    <t>SKU3833</t>
  </si>
  <si>
    <t>301-2190320-5650783</t>
  </si>
  <si>
    <t>SKU8860</t>
  </si>
  <si>
    <t>173-1327755-2269366</t>
  </si>
  <si>
    <t>SKU3829</t>
  </si>
  <si>
    <t>532-6499130-2701426</t>
  </si>
  <si>
    <t>SKU9364</t>
  </si>
  <si>
    <t>148-7578347-2960393</t>
  </si>
  <si>
    <t>SKU5405</t>
  </si>
  <si>
    <t>391-8022252-1991683</t>
  </si>
  <si>
    <t>SKU9528</t>
  </si>
  <si>
    <t>226-3243517-4029307</t>
  </si>
  <si>
    <t>SKU8045</t>
  </si>
  <si>
    <t>743-5478660-3387185</t>
  </si>
  <si>
    <t>SKU6261</t>
  </si>
  <si>
    <t>232-7189242-9382999</t>
  </si>
  <si>
    <t>SKU1225</t>
  </si>
  <si>
    <t>779-3677924-3216173</t>
  </si>
  <si>
    <t>SKU2655</t>
  </si>
  <si>
    <t>848-9472930-7472506</t>
  </si>
  <si>
    <t>SKU7450</t>
  </si>
  <si>
    <t>938-6386513-4552745</t>
  </si>
  <si>
    <t>SKU1013</t>
  </si>
  <si>
    <t>961-2500427-7985176</t>
  </si>
  <si>
    <t>SKU4357</t>
  </si>
  <si>
    <t>207-3433422-5652467</t>
  </si>
  <si>
    <t>SKU5279</t>
  </si>
  <si>
    <t>760-9258802-9047795</t>
  </si>
  <si>
    <t>SKU2940</t>
  </si>
  <si>
    <t>849-3786596-6007678</t>
  </si>
  <si>
    <t>SKU2681</t>
  </si>
  <si>
    <t>595-6136414-8370884</t>
  </si>
  <si>
    <t>SKU9748</t>
  </si>
  <si>
    <t>452-2183575-7132222</t>
  </si>
  <si>
    <t>SKU8761</t>
  </si>
  <si>
    <t>679-5130248-3942987</t>
  </si>
  <si>
    <t>891-8994001-1675405</t>
  </si>
  <si>
    <t>SKU1052</t>
  </si>
  <si>
    <t>369-8486105-3285380</t>
  </si>
  <si>
    <t>SKU4219</t>
  </si>
  <si>
    <t>506-2154653-1788417</t>
  </si>
  <si>
    <t>SKU3182</t>
  </si>
  <si>
    <t>362-8864292-4008349</t>
  </si>
  <si>
    <t>SKU2250</t>
  </si>
  <si>
    <t>308-3000499-1849578</t>
  </si>
  <si>
    <t>SKU2949</t>
  </si>
  <si>
    <t>386-7675512-5992615</t>
  </si>
  <si>
    <t>SKU7755</t>
  </si>
  <si>
    <t>739-9557361-5680425</t>
  </si>
  <si>
    <t>SKU5996</t>
  </si>
  <si>
    <t>195-5543744-4847794</t>
  </si>
  <si>
    <t>SKU7736</t>
  </si>
  <si>
    <t>150-3139022-6145435</t>
  </si>
  <si>
    <t>SKU7528</t>
  </si>
  <si>
    <t>143-8166511-2290094</t>
  </si>
  <si>
    <t>SKU8624</t>
  </si>
  <si>
    <t>413-9327562-9638948</t>
  </si>
  <si>
    <t>SKU6902</t>
  </si>
  <si>
    <t>179-2332331-2783826</t>
  </si>
  <si>
    <t>SKU6717</t>
  </si>
  <si>
    <t>453-9871294-2501320</t>
  </si>
  <si>
    <t>SKU9960</t>
  </si>
  <si>
    <t>936-5953935-1667420</t>
  </si>
  <si>
    <t>957-7612185-3947102</t>
  </si>
  <si>
    <t>SKU3555</t>
  </si>
  <si>
    <t>586-4004390-5468052</t>
  </si>
  <si>
    <t>SKU9003</t>
  </si>
  <si>
    <t>149-3588592-2969453</t>
  </si>
  <si>
    <t>SKU8110</t>
  </si>
  <si>
    <t>416-6475404-8576078</t>
  </si>
  <si>
    <t>SKU9532</t>
  </si>
  <si>
    <t>692-4675816-6004941</t>
  </si>
  <si>
    <t>SKU1907</t>
  </si>
  <si>
    <t>419-4633914-9774742</t>
  </si>
  <si>
    <t>SKU3340</t>
  </si>
  <si>
    <t>390-1157563-7132555</t>
  </si>
  <si>
    <t>SKU3873</t>
  </si>
  <si>
    <t>295-6530259-8542866</t>
  </si>
  <si>
    <t>SKU3468</t>
  </si>
  <si>
    <t>443-7877546-2778974</t>
  </si>
  <si>
    <t>SKU6605</t>
  </si>
  <si>
    <t>981-8164593-2878527</t>
  </si>
  <si>
    <t>SKU6528</t>
  </si>
  <si>
    <t>765-3305005-3166488</t>
  </si>
  <si>
    <t>SKU3263</t>
  </si>
  <si>
    <t>452-2426420-5827927</t>
  </si>
  <si>
    <t>SKU3221</t>
  </si>
  <si>
    <t>112-6233778-9831405</t>
  </si>
  <si>
    <t>SKU7634</t>
  </si>
  <si>
    <t>328-7491722-3442091</t>
  </si>
  <si>
    <t>SKU3443</t>
  </si>
  <si>
    <t>471-8986011-1975428</t>
  </si>
  <si>
    <t>SKU4217</t>
  </si>
  <si>
    <t>777-7499531-1066602</t>
  </si>
  <si>
    <t>SKU7252</t>
  </si>
  <si>
    <t>907-1043883-9931013</t>
  </si>
  <si>
    <t>SKU3117</t>
  </si>
  <si>
    <t>353-7048584-1057336</t>
  </si>
  <si>
    <t>SKU8813</t>
  </si>
  <si>
    <t>916-4003239-4691780</t>
  </si>
  <si>
    <t>SKU5287</t>
  </si>
  <si>
    <t>488-3960518-5567696</t>
  </si>
  <si>
    <t>SKU8233</t>
  </si>
  <si>
    <t>626-9344466-8917262</t>
  </si>
  <si>
    <t>SKU7104</t>
  </si>
  <si>
    <t>501-4738757-3047199</t>
  </si>
  <si>
    <t>SKU5331</t>
  </si>
  <si>
    <t>411-5451414-9818680</t>
  </si>
  <si>
    <t>SKU6789</t>
  </si>
  <si>
    <t>580-8232408-3413024</t>
  </si>
  <si>
    <t>SKU3356</t>
  </si>
  <si>
    <t>368-5693396-5326274</t>
  </si>
  <si>
    <t>SKU2478</t>
  </si>
  <si>
    <t>866-6267029-2745929</t>
  </si>
  <si>
    <t>SKU3227</t>
  </si>
  <si>
    <t>719-5285064-9891828</t>
  </si>
  <si>
    <t>SKU3345</t>
  </si>
  <si>
    <t>609-6888901-5830450</t>
  </si>
  <si>
    <t>SKU9581</t>
  </si>
  <si>
    <t>932-9211802-1642965</t>
  </si>
  <si>
    <t>SKU5804</t>
  </si>
  <si>
    <t>666-6861336-4832745</t>
  </si>
  <si>
    <t>SKU7137</t>
  </si>
  <si>
    <t>403-9232820-7060820</t>
  </si>
  <si>
    <t>SKU6397</t>
  </si>
  <si>
    <t>259-7954289-5078545</t>
  </si>
  <si>
    <t>SKU6251</t>
  </si>
  <si>
    <t>811-6066889-3893058</t>
  </si>
  <si>
    <t>SKU4114</t>
  </si>
  <si>
    <t>891-7186332-1484498</t>
  </si>
  <si>
    <t>SKU5584</t>
  </si>
  <si>
    <t>706-9013033-7805850</t>
  </si>
  <si>
    <t>SKU1881</t>
  </si>
  <si>
    <t>357-2665953-3085445</t>
  </si>
  <si>
    <t>SKU2102</t>
  </si>
  <si>
    <t>281-7491955-1976606</t>
  </si>
  <si>
    <t>SKU3831</t>
  </si>
  <si>
    <t>729-9431438-5508366</t>
  </si>
  <si>
    <t>SKU9919</t>
  </si>
  <si>
    <t>306-1966653-4376840</t>
  </si>
  <si>
    <t>SKU6108</t>
  </si>
  <si>
    <t>527-3398966-3462078</t>
  </si>
  <si>
    <t>SKU7886</t>
  </si>
  <si>
    <t>686-9377511-7001144</t>
  </si>
  <si>
    <t>SKU8390</t>
  </si>
  <si>
    <t>651-8067878-3005211</t>
  </si>
  <si>
    <t>SKU4946</t>
  </si>
  <si>
    <t>241-1531337-5931920</t>
  </si>
  <si>
    <t>109-8069607-9403887</t>
  </si>
  <si>
    <t>SKU1377</t>
  </si>
  <si>
    <t>820-7051630-4218614</t>
  </si>
  <si>
    <t>SKU6976</t>
  </si>
  <si>
    <t>955-2097449-9736521</t>
  </si>
  <si>
    <t>SKU2292</t>
  </si>
  <si>
    <t>226-7578898-1138764</t>
  </si>
  <si>
    <t>SKU9860</t>
  </si>
  <si>
    <t>606-9311136-9938985</t>
  </si>
  <si>
    <t>SKU5446</t>
  </si>
  <si>
    <t>470-4181392-1788912</t>
  </si>
  <si>
    <t>SKU5837</t>
  </si>
  <si>
    <t>394-3994713-2648040</t>
  </si>
  <si>
    <t>SKU4342</t>
  </si>
  <si>
    <t>531-4189312-5178301</t>
  </si>
  <si>
    <t>SKU5865</t>
  </si>
  <si>
    <t>102-6564848-8000111</t>
  </si>
  <si>
    <t>SKU2879</t>
  </si>
  <si>
    <t>281-1657542-1948515</t>
  </si>
  <si>
    <t>SKU5422</t>
  </si>
  <si>
    <t>659-3148993-1490120</t>
  </si>
  <si>
    <t>SKU2735</t>
  </si>
  <si>
    <t>663-5462154-3402145</t>
  </si>
  <si>
    <t>SKU4424</t>
  </si>
  <si>
    <t>451-9996842-2185878</t>
  </si>
  <si>
    <t>SKU9551</t>
  </si>
  <si>
    <t>627-7666106-8916516</t>
  </si>
  <si>
    <t>SKU4340</t>
  </si>
  <si>
    <t>738-2636252-2119381</t>
  </si>
  <si>
    <t>SKU9559</t>
  </si>
  <si>
    <t>192-9282905-5903374</t>
  </si>
  <si>
    <t>SKU2119</t>
  </si>
  <si>
    <t>906-3496992-3804651</t>
  </si>
  <si>
    <t>SKU7421</t>
  </si>
  <si>
    <t>898-2588100-5499095</t>
  </si>
  <si>
    <t>SKU8453</t>
  </si>
  <si>
    <t>622-6274856-4946627</t>
  </si>
  <si>
    <t>SKU7423</t>
  </si>
  <si>
    <t>146-3512278-5526256</t>
  </si>
  <si>
    <t>SKU3491</t>
  </si>
  <si>
    <t>505-9394986-1151770</t>
  </si>
  <si>
    <t>370-6207081-9605847</t>
  </si>
  <si>
    <t>SKU4838</t>
  </si>
  <si>
    <t>677-6269720-3779604</t>
  </si>
  <si>
    <t>SKU4126</t>
  </si>
  <si>
    <t>874-4526422-5042972</t>
  </si>
  <si>
    <t>SKU7418</t>
  </si>
  <si>
    <t>941-3261774-7471295</t>
  </si>
  <si>
    <t>SKU6301</t>
  </si>
  <si>
    <t>781-1603776-5322444</t>
  </si>
  <si>
    <t>SKU3599</t>
  </si>
  <si>
    <t>954-8436874-6760634</t>
  </si>
  <si>
    <t>SKU9329</t>
  </si>
  <si>
    <t>318-1843236-4380778</t>
  </si>
  <si>
    <t>SKU1260</t>
  </si>
  <si>
    <t>464-8314317-9247367</t>
  </si>
  <si>
    <t>SKU2764</t>
  </si>
  <si>
    <t>399-6332888-8840524</t>
  </si>
  <si>
    <t>SKU8730</t>
  </si>
  <si>
    <t>130-7344152-4965535</t>
  </si>
  <si>
    <t>SKU3180</t>
  </si>
  <si>
    <t>601-7038366-4492736</t>
  </si>
  <si>
    <t>SKU7476</t>
  </si>
  <si>
    <t>791-7648396-3458975</t>
  </si>
  <si>
    <t>SKU6471</t>
  </si>
  <si>
    <t>193-7411172-1453152</t>
  </si>
  <si>
    <t>SKU8911</t>
  </si>
  <si>
    <t>426-4113803-7103712</t>
  </si>
  <si>
    <t>419-6570164-4745467</t>
  </si>
  <si>
    <t>SKU6028</t>
  </si>
  <si>
    <t>587-6881468-4142181</t>
  </si>
  <si>
    <t>SKU4924</t>
  </si>
  <si>
    <t>256-2618483-4473276</t>
  </si>
  <si>
    <t>SKU4625</t>
  </si>
  <si>
    <t>699-9145768-3873899</t>
  </si>
  <si>
    <t>SKU2634</t>
  </si>
  <si>
    <t>756-9257674-4248975</t>
  </si>
  <si>
    <t>SKU5198</t>
  </si>
  <si>
    <t>208-6219113-7950662</t>
  </si>
  <si>
    <t>SKU2894</t>
  </si>
  <si>
    <t>603-3344796-6872132</t>
  </si>
  <si>
    <t>SKU3258</t>
  </si>
  <si>
    <t>914-4692757-1483815</t>
  </si>
  <si>
    <t>SKU6716</t>
  </si>
  <si>
    <t>491-4982933-6195585</t>
  </si>
  <si>
    <t>SKU5412</t>
  </si>
  <si>
    <t>465-6648358-5407875</t>
  </si>
  <si>
    <t>SKU9683</t>
  </si>
  <si>
    <t>916-4183977-5172348</t>
  </si>
  <si>
    <t>SKU6306</t>
  </si>
  <si>
    <t>246-4190944-3656828</t>
  </si>
  <si>
    <t>SKU7392</t>
  </si>
  <si>
    <t>621-8739436-7814532</t>
  </si>
  <si>
    <t>SKU8848</t>
  </si>
  <si>
    <t>779-8663310-2187579</t>
  </si>
  <si>
    <t>SKU5369</t>
  </si>
  <si>
    <t>204-2586380-9602552</t>
  </si>
  <si>
    <t>SKU7913</t>
  </si>
  <si>
    <t>766-3764798-5489492</t>
  </si>
  <si>
    <t>SKU4293</t>
  </si>
  <si>
    <t>365-6333540-7082523</t>
  </si>
  <si>
    <t>163-6721968-4731300</t>
  </si>
  <si>
    <t>SKU3676</t>
  </si>
  <si>
    <t>871-6279892-2270898</t>
  </si>
  <si>
    <t>SKU7218</t>
  </si>
  <si>
    <t>309-4500521-5949104</t>
  </si>
  <si>
    <t>SKU2068</t>
  </si>
  <si>
    <t>722-7983744-3394691</t>
  </si>
  <si>
    <t>SKU6850</t>
  </si>
  <si>
    <t>421-2982426-7269167</t>
  </si>
  <si>
    <t>SKU4247</t>
  </si>
  <si>
    <t>537-9059608-6223136</t>
  </si>
  <si>
    <t>SKU4159</t>
  </si>
  <si>
    <t>186-7740173-9594508</t>
  </si>
  <si>
    <t>SKU5592</t>
  </si>
  <si>
    <t>659-9377447-7379922</t>
  </si>
  <si>
    <t>SKU7374</t>
  </si>
  <si>
    <t>311-4133424-1001494</t>
  </si>
  <si>
    <t>SKU1928</t>
  </si>
  <si>
    <t>314-7507964-4144088</t>
  </si>
  <si>
    <t>SKU9456</t>
  </si>
  <si>
    <t>886-3441477-5289177</t>
  </si>
  <si>
    <t>SKU4549</t>
  </si>
  <si>
    <t>371-5941160-5547176</t>
  </si>
  <si>
    <t>SKU6331</t>
  </si>
  <si>
    <t>824-8659637-8062412</t>
  </si>
  <si>
    <t>SKU7212</t>
  </si>
  <si>
    <t>644-6912562-4051678</t>
  </si>
  <si>
    <t>SKU3108</t>
  </si>
  <si>
    <t>756-2465456-9142918</t>
  </si>
  <si>
    <t>SKU8775</t>
  </si>
  <si>
    <t>895-6457825-9021631</t>
  </si>
  <si>
    <t>SKU7065</t>
  </si>
  <si>
    <t>712-1451795-7573917</t>
  </si>
  <si>
    <t>SKU9540</t>
  </si>
  <si>
    <t>790-6589146-7328895</t>
  </si>
  <si>
    <t>SKU9527</t>
  </si>
  <si>
    <t>767-8705607-6028909</t>
  </si>
  <si>
    <t>SKU6590</t>
  </si>
  <si>
    <t>136-2382084-2446165</t>
  </si>
  <si>
    <t>SKU5274</t>
  </si>
  <si>
    <t>566-6761655-9602922</t>
  </si>
  <si>
    <t>SKU7103</t>
  </si>
  <si>
    <t>640-1508401-2740430</t>
  </si>
  <si>
    <t>SKU9509</t>
  </si>
  <si>
    <t>274-2153643-1488754</t>
  </si>
  <si>
    <t>SKU6570</t>
  </si>
  <si>
    <t>716-6141663-4340715</t>
  </si>
  <si>
    <t>SKU6460</t>
  </si>
  <si>
    <t>154-7101019-8044586</t>
  </si>
  <si>
    <t>SKU1466</t>
  </si>
  <si>
    <t>517-9815190-8076909</t>
  </si>
  <si>
    <t>SKU3949</t>
  </si>
  <si>
    <t>835-8748432-6922929</t>
  </si>
  <si>
    <t>SKU1721</t>
  </si>
  <si>
    <t>117-9058220-5723444</t>
  </si>
  <si>
    <t>SKU5849</t>
  </si>
  <si>
    <t>362-4801471-5016101</t>
  </si>
  <si>
    <t>SKU7562</t>
  </si>
  <si>
    <t>684-8572282-3551206</t>
  </si>
  <si>
    <t>SKU4724</t>
  </si>
  <si>
    <t>139-7786805-6498768</t>
  </si>
  <si>
    <t>SKU8185</t>
  </si>
  <si>
    <t>562-6278523-4394355</t>
  </si>
  <si>
    <t>SKU1074</t>
  </si>
  <si>
    <t>307-1430630-7493061</t>
  </si>
  <si>
    <t>SKU7482</t>
  </si>
  <si>
    <t>704-4955307-9758775</t>
  </si>
  <si>
    <t>SKU9326</t>
  </si>
  <si>
    <t>952-4474405-2223974</t>
  </si>
  <si>
    <t>SKU1086</t>
  </si>
  <si>
    <t>949-6075953-9733304</t>
  </si>
  <si>
    <t>SKU8154</t>
  </si>
  <si>
    <t>877-4893245-1385483</t>
  </si>
  <si>
    <t>SKU4776</t>
  </si>
  <si>
    <t>565-2853062-8482338</t>
  </si>
  <si>
    <t>SKU2350</t>
  </si>
  <si>
    <t>311-9136702-6234625</t>
  </si>
  <si>
    <t>SKU1406</t>
  </si>
  <si>
    <t>213-7952544-6325918</t>
  </si>
  <si>
    <t>SKU2005</t>
  </si>
  <si>
    <t>417-4522185-6264034</t>
  </si>
  <si>
    <t>SKU7257</t>
  </si>
  <si>
    <t>328-8357258-8251308</t>
  </si>
  <si>
    <t>SKU7122</t>
  </si>
  <si>
    <t>671-7073345-2682098</t>
  </si>
  <si>
    <t>SKU2865</t>
  </si>
  <si>
    <t>988-9084614-3161671</t>
  </si>
  <si>
    <t>SKU3411</t>
  </si>
  <si>
    <t>391-1962107-1297380</t>
  </si>
  <si>
    <t>SKU3995</t>
  </si>
  <si>
    <t>997-4445054-8132540</t>
  </si>
  <si>
    <t>SKU5823</t>
  </si>
  <si>
    <t>542-6417484-8647202</t>
  </si>
  <si>
    <t>SKU4336</t>
  </si>
  <si>
    <t>200-9612203-1418466</t>
  </si>
  <si>
    <t>SKU4956</t>
  </si>
  <si>
    <t>905-7535503-8135165</t>
  </si>
  <si>
    <t>SKU2688</t>
  </si>
  <si>
    <t>155-2356981-4504290</t>
  </si>
  <si>
    <t>SKU7018</t>
  </si>
  <si>
    <t>879-2108119-9290132</t>
  </si>
  <si>
    <t>SKU3140</t>
  </si>
  <si>
    <t>506-5328224-9535297</t>
  </si>
  <si>
    <t>SKU2826</t>
  </si>
  <si>
    <t>362-7825263-5994165</t>
  </si>
  <si>
    <t>SKU5516</t>
  </si>
  <si>
    <t>138-7813097-9278704</t>
  </si>
  <si>
    <t>SKU4205</t>
  </si>
  <si>
    <t>916-6699871-4271328</t>
  </si>
  <si>
    <t>SKU7655</t>
  </si>
  <si>
    <t>130-5493847-4137448</t>
  </si>
  <si>
    <t>SKU8748</t>
  </si>
  <si>
    <t>790-2699584-8502140</t>
  </si>
  <si>
    <t>138-6926918-3441465</t>
  </si>
  <si>
    <t>SKU3823</t>
  </si>
  <si>
    <t>280-3104374-6681994</t>
  </si>
  <si>
    <t>SKU6633</t>
  </si>
  <si>
    <t>254-3132669-5384777</t>
  </si>
  <si>
    <t>SKU7781</t>
  </si>
  <si>
    <t>638-1945745-7412919</t>
  </si>
  <si>
    <t>SKU8890</t>
  </si>
  <si>
    <t>247-4678168-6778543</t>
  </si>
  <si>
    <t>SKU3551</t>
  </si>
  <si>
    <t>491-3336025-3785154</t>
  </si>
  <si>
    <t>SKU8449</t>
  </si>
  <si>
    <t>893-6332398-2044780</t>
  </si>
  <si>
    <t>SKU5846</t>
  </si>
  <si>
    <t>643-2524133-3464123</t>
  </si>
  <si>
    <t>SKU9921</t>
  </si>
  <si>
    <t>365-9359695-3071700</t>
  </si>
  <si>
    <t>SKU1131</t>
  </si>
  <si>
    <t>601-5916439-7176239</t>
  </si>
  <si>
    <t>SKU6107</t>
  </si>
  <si>
    <t>626-3144642-9045072</t>
  </si>
  <si>
    <t>SKU7581</t>
  </si>
  <si>
    <t>916-5613481-2633172</t>
  </si>
  <si>
    <t>SKU3232</t>
  </si>
  <si>
    <t>797-9189659-9767539</t>
  </si>
  <si>
    <t>SKU3575</t>
  </si>
  <si>
    <t>139-9147464-8170316</t>
  </si>
  <si>
    <t>SKU5456</t>
  </si>
  <si>
    <t>646-5294757-5709290</t>
  </si>
  <si>
    <t>SKU5574</t>
  </si>
  <si>
    <t>681-7564607-6527989</t>
  </si>
  <si>
    <t>SKU7485</t>
  </si>
  <si>
    <t>980-3632756-1426345</t>
  </si>
  <si>
    <t>SKU1157</t>
  </si>
  <si>
    <t>187-5264671-1376078</t>
  </si>
  <si>
    <t>SKU5520</t>
  </si>
  <si>
    <t>212-7538474-1945578</t>
  </si>
  <si>
    <t>SKU9667</t>
  </si>
  <si>
    <t>618-9635194-5496947</t>
  </si>
  <si>
    <t>SKU7424</t>
  </si>
  <si>
    <t>530-2054458-1902247</t>
  </si>
  <si>
    <t>SKU7054</t>
  </si>
  <si>
    <t>520-2901753-7258801</t>
  </si>
  <si>
    <t>SKU4213</t>
  </si>
  <si>
    <t>852-4999537-7305296</t>
  </si>
  <si>
    <t>SKU3933</t>
  </si>
  <si>
    <t>868-8129972-1361666</t>
  </si>
  <si>
    <t>SKU4836</t>
  </si>
  <si>
    <t>753-1677161-1615041</t>
  </si>
  <si>
    <t>SKU8746</t>
  </si>
  <si>
    <t>649-3342657-9202567</t>
  </si>
  <si>
    <t>SKU1058</t>
  </si>
  <si>
    <t>491-6263857-3292511</t>
  </si>
  <si>
    <t>SKU4532</t>
  </si>
  <si>
    <t>970-5820664-1032405</t>
  </si>
  <si>
    <t>SKU5157</t>
  </si>
  <si>
    <t>611-3970179-9239648</t>
  </si>
  <si>
    <t>SKU1532</t>
  </si>
  <si>
    <t>634-1755988-9822502</t>
  </si>
  <si>
    <t>SKU6388</t>
  </si>
  <si>
    <t>871-7152074-8481869</t>
  </si>
  <si>
    <t>SKU4608</t>
  </si>
  <si>
    <t>532-4249801-6363570</t>
  </si>
  <si>
    <t>SKU8426</t>
  </si>
  <si>
    <t>841-6215481-5764396</t>
  </si>
  <si>
    <t>SKU6779</t>
  </si>
  <si>
    <t>537-9429620-8128624</t>
  </si>
  <si>
    <t>SKU5946</t>
  </si>
  <si>
    <t>938-4380097-5041363</t>
  </si>
  <si>
    <t>SKU1396</t>
  </si>
  <si>
    <t>754-8052685-7611634</t>
  </si>
  <si>
    <t>SKU5869</t>
  </si>
  <si>
    <t>948-7267419-9871596</t>
  </si>
  <si>
    <t>SKU7430</t>
  </si>
  <si>
    <t>971-2288837-4733774</t>
  </si>
  <si>
    <t>SKU1320</t>
  </si>
  <si>
    <t>347-4386493-4999099</t>
  </si>
  <si>
    <t>SKU4098</t>
  </si>
  <si>
    <t>696-3909931-1154732</t>
  </si>
  <si>
    <t>SKU1257</t>
  </si>
  <si>
    <t>907-5705634-3298961</t>
  </si>
  <si>
    <t>SKU5082</t>
  </si>
  <si>
    <t>639-9860874-9700184</t>
  </si>
  <si>
    <t>SKU2761</t>
  </si>
  <si>
    <t>487-8634233-6651606</t>
  </si>
  <si>
    <t>SKU2490</t>
  </si>
  <si>
    <t>738-9623772-1890544</t>
  </si>
  <si>
    <t>SKU1567</t>
  </si>
  <si>
    <t>839-8171442-4807434</t>
  </si>
  <si>
    <t>SKU5151</t>
  </si>
  <si>
    <t>966-6158852-2361891</t>
  </si>
  <si>
    <t>SKU2835</t>
  </si>
  <si>
    <t>600-3598952-9588053</t>
  </si>
  <si>
    <t>SKU1090</t>
  </si>
  <si>
    <t>104-3232178-7199625</t>
  </si>
  <si>
    <t>SKU6560</t>
  </si>
  <si>
    <t>386-1940146-4695701</t>
  </si>
  <si>
    <t>SKU9917</t>
  </si>
  <si>
    <t>817-9205103-4062937</t>
  </si>
  <si>
    <t>SKU5655</t>
  </si>
  <si>
    <t>617-2228477-7777470</t>
  </si>
  <si>
    <t>SKU7101</t>
  </si>
  <si>
    <t>872-7845300-5816045</t>
  </si>
  <si>
    <t>SKU5662</t>
  </si>
  <si>
    <t>743-8317518-7945616</t>
  </si>
  <si>
    <t>SKU2062</t>
  </si>
  <si>
    <t>108-8217826-1123068</t>
  </si>
  <si>
    <t>SKU4463</t>
  </si>
  <si>
    <t>617-3155792-9031622</t>
  </si>
  <si>
    <t>SKU3029</t>
  </si>
  <si>
    <t>644-2711036-9635489</t>
  </si>
  <si>
    <t>SKU7330</t>
  </si>
  <si>
    <t>562-5739352-5799237</t>
  </si>
  <si>
    <t>SKU7300</t>
  </si>
  <si>
    <t>538-9170044-5592007</t>
  </si>
  <si>
    <t>SKU3485</t>
  </si>
  <si>
    <t>203-1622605-4514091</t>
  </si>
  <si>
    <t>SKU8362</t>
  </si>
  <si>
    <t>979-4773799-2254844</t>
  </si>
  <si>
    <t>SKU6643</t>
  </si>
  <si>
    <t>729-8213693-2491687</t>
  </si>
  <si>
    <t>SKU6122</t>
  </si>
  <si>
    <t>676-8640035-3303123</t>
  </si>
  <si>
    <t>SKU7652</t>
  </si>
  <si>
    <t>125-9448296-6320331</t>
  </si>
  <si>
    <t>SKU7159</t>
  </si>
  <si>
    <t>272-1763559-7245419</t>
  </si>
  <si>
    <t>565-1054860-3108949</t>
  </si>
  <si>
    <t>SKU9482</t>
  </si>
  <si>
    <t>668-5420558-5832054</t>
  </si>
  <si>
    <t>SKU5535</t>
  </si>
  <si>
    <t>650-7901855-5222555</t>
  </si>
  <si>
    <t>SKU2194</t>
  </si>
  <si>
    <t>367-9746673-9032630</t>
  </si>
  <si>
    <t>SKU9239</t>
  </si>
  <si>
    <t>514-2794538-3960475</t>
  </si>
  <si>
    <t>SKU9587</t>
  </si>
  <si>
    <t>461-5573191-3289114</t>
  </si>
  <si>
    <t>582-4558679-3312595</t>
  </si>
  <si>
    <t>SKU6459</t>
  </si>
  <si>
    <t>826-9681207-8451341</t>
  </si>
  <si>
    <t>SKU5903</t>
  </si>
  <si>
    <t>227-5398990-7305747</t>
  </si>
  <si>
    <t>SKU7948</t>
  </si>
  <si>
    <t>619-8068246-6075498</t>
  </si>
  <si>
    <t>SKU3380</t>
  </si>
  <si>
    <t>643-2536853-9733761</t>
  </si>
  <si>
    <t>649-5534429-3625189</t>
  </si>
  <si>
    <t>SKU2925</t>
  </si>
  <si>
    <t>529-4917921-3323290</t>
  </si>
  <si>
    <t>SKU2464</t>
  </si>
  <si>
    <t>902-5957070-3077262</t>
  </si>
  <si>
    <t>SKU9061</t>
  </si>
  <si>
    <t>501-1159463-2631535</t>
  </si>
  <si>
    <t>SKU2618</t>
  </si>
  <si>
    <t>515-7991446-3296415</t>
  </si>
  <si>
    <t>SKU9738</t>
  </si>
  <si>
    <t>116-7128197-5941079</t>
  </si>
  <si>
    <t>SKU2745</t>
  </si>
  <si>
    <t>999-4127219-5022107</t>
  </si>
  <si>
    <t>SKU1785</t>
  </si>
  <si>
    <t>763-1216261-2838313</t>
  </si>
  <si>
    <t>SKU6602</t>
  </si>
  <si>
    <t>511-1033103-1383221</t>
  </si>
  <si>
    <t>SKU8121</t>
  </si>
  <si>
    <t>283-5656839-3864670</t>
  </si>
  <si>
    <t>SKU6637</t>
  </si>
  <si>
    <t>264-5623746-5130757</t>
  </si>
  <si>
    <t>SKU8485</t>
  </si>
  <si>
    <t>824-2139054-3720172</t>
  </si>
  <si>
    <t>SKU5772</t>
  </si>
  <si>
    <t>297-7878019-8803001</t>
  </si>
  <si>
    <t>SKU5285</t>
  </si>
  <si>
    <t>321-8804452-5483454</t>
  </si>
  <si>
    <t>SKU6712</t>
  </si>
  <si>
    <t>334-6682744-6426749</t>
  </si>
  <si>
    <t>SKU9113</t>
  </si>
  <si>
    <t>498-6684550-7654387</t>
  </si>
  <si>
    <t>SKU2221</t>
  </si>
  <si>
    <t>608-4955062-7598640</t>
  </si>
  <si>
    <t>SKU5154</t>
  </si>
  <si>
    <t>414-8673932-2380325</t>
  </si>
  <si>
    <t>SKU8081</t>
  </si>
  <si>
    <t>501-2829564-9781414</t>
  </si>
  <si>
    <t>SKU2195</t>
  </si>
  <si>
    <t>825-7002821-4151168</t>
  </si>
  <si>
    <t>SKU7081</t>
  </si>
  <si>
    <t>183-9290971-1881623</t>
  </si>
  <si>
    <t>SKU7241</t>
  </si>
  <si>
    <t>672-1618399-9116599</t>
  </si>
  <si>
    <t>SKU3679</t>
  </si>
  <si>
    <t>773-5652695-1777065</t>
  </si>
  <si>
    <t>SKU6493</t>
  </si>
  <si>
    <t>259-6865193-2895858</t>
  </si>
  <si>
    <t>SKU7002</t>
  </si>
  <si>
    <t>467-1007082-5571919</t>
  </si>
  <si>
    <t>SKU2410</t>
  </si>
  <si>
    <t>678-7216364-1993271</t>
  </si>
  <si>
    <t>939-6019518-1909001</t>
  </si>
  <si>
    <t>SKU9425</t>
  </si>
  <si>
    <t>261-9035382-1657205</t>
  </si>
  <si>
    <t>SKU7855</t>
  </si>
  <si>
    <t>808-7715178-9350595</t>
  </si>
  <si>
    <t>SKU8828</t>
  </si>
  <si>
    <t>202-5211729-7075251</t>
  </si>
  <si>
    <t>SKU3430</t>
  </si>
  <si>
    <t>366-2158751-7992149</t>
  </si>
  <si>
    <t>SKU7307</t>
  </si>
  <si>
    <t>200-5752325-9547889</t>
  </si>
  <si>
    <t>SKU3065</t>
  </si>
  <si>
    <t>661-1630414-8866982</t>
  </si>
  <si>
    <t>842-1581725-2615255</t>
  </si>
  <si>
    <t>SKU5701</t>
  </si>
  <si>
    <t>477-2100493-5709717</t>
  </si>
  <si>
    <t>154-3473553-3001942</t>
  </si>
  <si>
    <t>SKU5562</t>
  </si>
  <si>
    <t>899-2448356-8952333</t>
  </si>
  <si>
    <t>SKU2498</t>
  </si>
  <si>
    <t>178-5011482-2692121</t>
  </si>
  <si>
    <t>SKU1270</t>
  </si>
  <si>
    <t>504-1625743-9244355</t>
  </si>
  <si>
    <t>SKU4091</t>
  </si>
  <si>
    <t>809-3032130-2926088</t>
  </si>
  <si>
    <t>SKU4968</t>
  </si>
  <si>
    <t>815-7064106-2647196</t>
  </si>
  <si>
    <t>SKU1297</t>
  </si>
  <si>
    <t>750-2068597-6054470</t>
  </si>
  <si>
    <t>SKU5033</t>
  </si>
  <si>
    <t>784-1632399-8877061</t>
  </si>
  <si>
    <t>SKU2247</t>
  </si>
  <si>
    <t>548-4552804-1398096</t>
  </si>
  <si>
    <t>SKU2476</t>
  </si>
  <si>
    <t>459-7302048-3077812</t>
  </si>
  <si>
    <t>SKU6548</t>
  </si>
  <si>
    <t>544-4680159-4586246</t>
  </si>
  <si>
    <t>SKU4135</t>
  </si>
  <si>
    <t>318-1456049-3646479</t>
  </si>
  <si>
    <t>SKU5379</t>
  </si>
  <si>
    <t>147-8313744-9825487</t>
  </si>
  <si>
    <t>SKU5683</t>
  </si>
  <si>
    <t>735-1160742-7157756</t>
  </si>
  <si>
    <t>SKU9404</t>
  </si>
  <si>
    <t>512-3126258-6383156</t>
  </si>
  <si>
    <t>SKU1095</t>
  </si>
  <si>
    <t>195-2457708-6534189</t>
  </si>
  <si>
    <t>SKU9084</t>
  </si>
  <si>
    <t>605-1746242-5646827</t>
  </si>
  <si>
    <t>986-5368801-3844227</t>
  </si>
  <si>
    <t>SKU2126</t>
  </si>
  <si>
    <t>885-1522745-6160526</t>
  </si>
  <si>
    <t>SKU6456</t>
  </si>
  <si>
    <t>113-8220046-9407448</t>
  </si>
  <si>
    <t>SKU1664</t>
  </si>
  <si>
    <t>537-2597675-7454689</t>
  </si>
  <si>
    <t>SKU7360</t>
  </si>
  <si>
    <t>706-3425118-6751901</t>
  </si>
  <si>
    <t>SKU5608</t>
  </si>
  <si>
    <t>130-6423097-9729559</t>
  </si>
  <si>
    <t>SKU7035</t>
  </si>
  <si>
    <t>269-4414885-3249803</t>
  </si>
  <si>
    <t>SKU4404</t>
  </si>
  <si>
    <t>222-2233990-9708507</t>
  </si>
  <si>
    <t>SKU9245</t>
  </si>
  <si>
    <t>636-6224371-6962930</t>
  </si>
  <si>
    <t>SKU9649</t>
  </si>
  <si>
    <t>432-2422103-8326993</t>
  </si>
  <si>
    <t>SKU9491</t>
  </si>
  <si>
    <t>687-4991098-1730338</t>
  </si>
  <si>
    <t>SKU9743</t>
  </si>
  <si>
    <t>260-6647212-9554888</t>
  </si>
  <si>
    <t>SKU2682</t>
  </si>
  <si>
    <t>160-2402316-7804313</t>
  </si>
  <si>
    <t>SKU7760</t>
  </si>
  <si>
    <t>679-8162838-2574986</t>
  </si>
  <si>
    <t>SKU1963</t>
  </si>
  <si>
    <t>678-8954053-4843409</t>
  </si>
  <si>
    <t>SKU4658</t>
  </si>
  <si>
    <t>337-3086647-6171140</t>
  </si>
  <si>
    <t>SKU1601</t>
  </si>
  <si>
    <t>793-6622872-5884647</t>
  </si>
  <si>
    <t>SKU2376</t>
  </si>
  <si>
    <t>349-6499664-5382360</t>
  </si>
  <si>
    <t>SKU2772</t>
  </si>
  <si>
    <t>837-2161039-9028809</t>
  </si>
  <si>
    <t>SKU8482</t>
  </si>
  <si>
    <t>315-9317115-6633183</t>
  </si>
  <si>
    <t>SKU5475</t>
  </si>
  <si>
    <t>458-7568330-5998081</t>
  </si>
  <si>
    <t>SKU5069</t>
  </si>
  <si>
    <t>555-8963284-7325432</t>
  </si>
  <si>
    <t>SKU4675</t>
  </si>
  <si>
    <t>846-4647428-7942877</t>
  </si>
  <si>
    <t>SKU6394</t>
  </si>
  <si>
    <t>362-5689382-6791800</t>
  </si>
  <si>
    <t>SKU1895</t>
  </si>
  <si>
    <t>646-1528201-4692500</t>
  </si>
  <si>
    <t>SKU1517</t>
  </si>
  <si>
    <t>609-2719399-9672242</t>
  </si>
  <si>
    <t>SKU3814</t>
  </si>
  <si>
    <t>202-6084451-2100778</t>
  </si>
  <si>
    <t>SKU7962</t>
  </si>
  <si>
    <t>643-8832683-7514684</t>
  </si>
  <si>
    <t>SKU9993</t>
  </si>
  <si>
    <t>580-7001668-2242340</t>
  </si>
  <si>
    <t>SKU6842</t>
  </si>
  <si>
    <t>255-3857739-9436795</t>
  </si>
  <si>
    <t>SKU6228</t>
  </si>
  <si>
    <t>718-9921908-8681594</t>
  </si>
  <si>
    <t>SKU1370</t>
  </si>
  <si>
    <t>479-6677957-3698107</t>
  </si>
  <si>
    <t>SKU8947</t>
  </si>
  <si>
    <t>947-1406132-3280597</t>
  </si>
  <si>
    <t>SKU6477</t>
  </si>
  <si>
    <t>955-3732580-8550254</t>
  </si>
  <si>
    <t>SKU9420</t>
  </si>
  <si>
    <t>512-5055773-1917945</t>
  </si>
  <si>
    <t>SKU3203</t>
  </si>
  <si>
    <t>807-3720079-4179303</t>
  </si>
  <si>
    <t>SKU4646</t>
  </si>
  <si>
    <t>443-5956101-2022083</t>
  </si>
  <si>
    <t>SKU1811</t>
  </si>
  <si>
    <t>637-8371290-2355745</t>
  </si>
  <si>
    <t>SKU6510</t>
  </si>
  <si>
    <t>645-4355224-3428955</t>
  </si>
  <si>
    <t>SKU3315</t>
  </si>
  <si>
    <t>765-6915816-5885383</t>
  </si>
  <si>
    <t>SKU3875</t>
  </si>
  <si>
    <t>113-2789298-4309813</t>
  </si>
  <si>
    <t>SKU3612</t>
  </si>
  <si>
    <t>682-8662798-9861864</t>
  </si>
  <si>
    <t>SKU3184</t>
  </si>
  <si>
    <t>674-5434368-1609490</t>
  </si>
  <si>
    <t>SKU3161</t>
  </si>
  <si>
    <t>358-5047071-9743925</t>
  </si>
  <si>
    <t>SKU3071</t>
  </si>
  <si>
    <t>879-2489273-4954941</t>
  </si>
  <si>
    <t>SKU5652</t>
  </si>
  <si>
    <t>799-9146655-5459731</t>
  </si>
  <si>
    <t>SKU4685</t>
  </si>
  <si>
    <t>544-7496638-4652115</t>
  </si>
  <si>
    <t>SKU3714</t>
  </si>
  <si>
    <t>741-3520258-1164136</t>
  </si>
  <si>
    <t>SKU7243</t>
  </si>
  <si>
    <t>968-9647044-9775658</t>
  </si>
  <si>
    <t>SKU5525</t>
  </si>
  <si>
    <t>195-6664009-3502963</t>
  </si>
  <si>
    <t>SKU8893</t>
  </si>
  <si>
    <t xml:space="preserve"> age</t>
  </si>
  <si>
    <t xml:space="preserve"> date</t>
  </si>
  <si>
    <t>Age Group</t>
  </si>
  <si>
    <t>Sum of Amount</t>
  </si>
  <si>
    <t>Count of Order ID</t>
  </si>
  <si>
    <t>Row Labels</t>
  </si>
  <si>
    <t>Dec</t>
  </si>
  <si>
    <t>month</t>
  </si>
  <si>
    <t>Grand Total</t>
  </si>
  <si>
    <t>adult</t>
  </si>
  <si>
    <t>senior</t>
  </si>
  <si>
    <t>teenager</t>
  </si>
  <si>
    <t>Vrinda Store Annual Report 2026</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</si>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</sst>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8"/>
      <color theme="0"/>
      <name val="Calibri"/>
      <family val="2"/>
      <scheme val="minor"/>
    </font>
  </fonts>
  <fills count="5">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xf>
    <xf numFmtId="0" fontId="0" fillId="3" borderId="0" xfId="0" applyFill="1"/>
    <xf numFmtId="0" fontId="0" fillId="4" borderId="0" xfId="0" applyFill="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[Vrinda_Store-Data-Analytics-Project.xlsx]Sales Vs Order!PivotTable4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a:t>
            </a:r>
            <a:r>
              <a:rPr lang="en-IN" sz="1600" b="1" baseline="0"/>
              <a:t> vs Sales</a:t>
            </a:r>
            <a:endParaRPr lang="en-IN" sz="1600" b="1"/>
          </a:p>
        </c:rich>
      </c:tx>
      <c:layout>
        <c:manualLayout>
          <c:xMode val="edge"/>
          <c:yMode val="edge"/>
          <c:x val="0.1116388888888888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3205187586847"/>
          <c:y val="0.17171303245243758"/>
          <c:w val="0.74553171478565172"/>
          <c:h val="0.72088764946048411"/>
        </c:manualLayout>
      </c:layout>
      <c:barChart>
        <c:barDir val="col"/>
        <c:grouping val="clustered"/>
        <c:varyColors val="0"/>
        <c:ser>
          <c:idx val="0"/>
          <c:order val="0"/>
          <c:tx>
            <c:strRef>
              <c:f>'Sales Vs Order'!$B$3</c:f>
              <c:strCache>
                <c:ptCount val="1"/>
                <c:pt idx="0">
                  <c:v>Sum of Amount</c:v>
                </c:pt>
              </c:strCache>
            </c:strRef>
          </c:tx>
          <c:spPr>
            <a:solidFill>
              <a:schemeClr val="accent1"/>
            </a:solidFill>
            <a:ln>
              <a:noFill/>
            </a:ln>
            <a:effectLst/>
          </c:spPr>
          <c:invertIfNegative val="0"/>
          <c:cat>
            <c:strRef>
              <c:f>'Sales Vs Order'!$A$4:$A$5</c:f>
              <c:strCache>
                <c:ptCount val="1"/>
                <c:pt idx="0">
                  <c:v>Dec</c:v>
                </c:pt>
              </c:strCache>
            </c:strRef>
          </c:cat>
          <c:val>
            <c:numRef>
              <c:f>'Sales Vs Order'!$B$4:$B$5</c:f>
              <c:numCache>
                <c:formatCode>General</c:formatCode>
                <c:ptCount val="1"/>
                <c:pt idx="0">
                  <c:v>50900</c:v>
                </c:pt>
              </c:numCache>
            </c:numRef>
          </c:val>
          <c:extLst>
            <c:ext xmlns:c16="http://schemas.microsoft.com/office/drawing/2014/chart" uri="{C3380CC4-5D6E-409C-BE32-E72D297353CC}">
              <c16:uniqueId val="{00000000-58CC-4903-A933-519000D70C6A}"/>
            </c:ext>
          </c:extLst>
        </c:ser>
        <c:dLbls>
          <c:showLegendKey val="0"/>
          <c:showVal val="0"/>
          <c:showCatName val="0"/>
          <c:showSerName val="0"/>
          <c:showPercent val="0"/>
          <c:showBubbleSize val="0"/>
        </c:dLbls>
        <c:gapWidth val="219"/>
        <c:overlap val="-27"/>
        <c:axId val="601953807"/>
        <c:axId val="601954287"/>
      </c:barChart>
      <c:lineChart>
        <c:grouping val="standard"/>
        <c:varyColors val="0"/>
        <c:ser>
          <c:idx val="1"/>
          <c:order val="1"/>
          <c:tx>
            <c:strRef>
              <c:f>'Sales Vs Order'!$C$3</c:f>
              <c:strCache>
                <c:ptCount val="1"/>
                <c:pt idx="0">
                  <c:v>Count of Order ID</c:v>
                </c:pt>
              </c:strCache>
            </c:strRef>
          </c:tx>
          <c:spPr>
            <a:ln w="28575" cap="rnd">
              <a:solidFill>
                <a:schemeClr val="accent2"/>
              </a:solidFill>
              <a:round/>
            </a:ln>
            <a:effectLst/>
          </c:spPr>
          <c:marker>
            <c:symbol val="none"/>
          </c:marker>
          <c:cat>
            <c:strRef>
              <c:f>'Sales Vs Order'!$A$4:$A$5</c:f>
              <c:strCache>
                <c:ptCount val="1"/>
                <c:pt idx="0">
                  <c:v>Dec</c:v>
                </c:pt>
              </c:strCache>
            </c:strRef>
          </c:cat>
          <c:val>
            <c:numRef>
              <c:f>'Sales Vs Order'!$C$4:$C$5</c:f>
              <c:numCache>
                <c:formatCode>General</c:formatCode>
                <c:ptCount val="1"/>
                <c:pt idx="0">
                  <c:v>45</c:v>
                </c:pt>
              </c:numCache>
            </c:numRef>
          </c:val>
          <c:smooth val="0"/>
          <c:extLst>
            <c:ext xmlns:c16="http://schemas.microsoft.com/office/drawing/2014/chart" uri="{C3380CC4-5D6E-409C-BE32-E72D297353CC}">
              <c16:uniqueId val="{00000001-58CC-4903-A933-519000D70C6A}"/>
            </c:ext>
          </c:extLst>
        </c:ser>
        <c:dLbls>
          <c:showLegendKey val="0"/>
          <c:showVal val="0"/>
          <c:showCatName val="0"/>
          <c:showSerName val="0"/>
          <c:showPercent val="0"/>
          <c:showBubbleSize val="0"/>
        </c:dLbls>
        <c:marker val="1"/>
        <c:smooth val="0"/>
        <c:axId val="328765519"/>
        <c:axId val="601956207"/>
      </c:lineChart>
      <c:catAx>
        <c:axId val="6019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4287"/>
        <c:crosses val="autoZero"/>
        <c:auto val="1"/>
        <c:lblAlgn val="ctr"/>
        <c:lblOffset val="100"/>
        <c:noMultiLvlLbl val="0"/>
      </c:catAx>
      <c:valAx>
        <c:axId val="601954287"/>
        <c:scaling>
          <c:orientation val="minMax"/>
        </c:scaling>
        <c:delete val="0"/>
        <c:axPos val="l"/>
        <c:numFmt formatCode="\1.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3807"/>
        <c:crosses val="autoZero"/>
        <c:crossBetween val="between"/>
      </c:valAx>
      <c:valAx>
        <c:axId val="6019562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65519"/>
        <c:crosses val="max"/>
        <c:crossBetween val="between"/>
      </c:valAx>
      <c:catAx>
        <c:axId val="328765519"/>
        <c:scaling>
          <c:orientation val="minMax"/>
        </c:scaling>
        <c:delete val="1"/>
        <c:axPos val="b"/>
        <c:numFmt formatCode="General" sourceLinked="1"/>
        <c:majorTickMark val="out"/>
        <c:minorTickMark val="none"/>
        <c:tickLblPos val="nextTo"/>
        <c:crossAx val="601956207"/>
        <c:crosses val="autoZero"/>
        <c:auto val="1"/>
        <c:lblAlgn val="ctr"/>
        <c:lblOffset val="100"/>
        <c:noMultiLvlLbl val="0"/>
      </c:catAx>
      <c:spPr>
        <a:noFill/>
        <a:ln>
          <a:noFill/>
        </a:ln>
        <a:effectLst/>
      </c:spPr>
    </c:plotArea>
    <c:legend>
      <c:legendPos val="r"/>
      <c:layout>
        <c:manualLayout>
          <c:xMode val="edge"/>
          <c:yMode val="edge"/>
          <c:x val="0.44807256445885441"/>
          <c:y val="7.8638504012527974E-4"/>
          <c:w val="0.53019531933508302"/>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[Vrinda_Store-Data-Analytics-Project.xlsx]Men Va Women!PivotTable5</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Man Vs Women</a:t>
            </a:r>
            <a:endParaRPr lang="en-US" sz="1200" b="1"/>
          </a:p>
        </c:rich>
      </c:tx>
      <c:layout>
        <c:manualLayout>
          <c:xMode val="edge"/>
          <c:yMode val="edge"/>
          <c:x val="0.20506915358984382"/>
          <c:y val="3.703688937616975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555555555555567"/>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9676327921879319"/>
              <c:y val="4.629548210027045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897895959726344"/>
          <c:y val="0.33102606667573536"/>
          <c:w val="0.42204208080547306"/>
          <c:h val="0.55364691313008385"/>
        </c:manualLayout>
      </c:layout>
      <c:pieChart>
        <c:varyColors val="1"/>
        <c:ser>
          <c:idx val="0"/>
          <c:order val="0"/>
          <c:tx>
            <c:strRef>
              <c:f>'Men Va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63-4635-818D-8233A660F5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63-4635-818D-8233A660F534}"/>
              </c:ext>
            </c:extLst>
          </c:dPt>
          <c:dLbls>
            <c:dLbl>
              <c:idx val="0"/>
              <c:layout>
                <c:manualLayout>
                  <c:x val="-0.15555555555555567"/>
                  <c:y val="-9.259259259259343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63-4635-818D-8233A660F534}"/>
                </c:ext>
              </c:extLst>
            </c:dLbl>
            <c:dLbl>
              <c:idx val="1"/>
              <c:layout>
                <c:manualLayout>
                  <c:x val="0.19676327921879319"/>
                  <c:y val="4.629548210027045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63-4635-818D-8233A660F5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Va Women'!$A$4:$A$5</c:f>
              <c:strCache>
                <c:ptCount val="2"/>
                <c:pt idx="0">
                  <c:v>Men</c:v>
                </c:pt>
                <c:pt idx="1">
                  <c:v>Women</c:v>
                </c:pt>
              </c:strCache>
            </c:strRef>
          </c:cat>
          <c:val>
            <c:numRef>
              <c:f>'Men Va Women'!$B$4:$B$5</c:f>
              <c:numCache>
                <c:formatCode>General</c:formatCode>
                <c:ptCount val="2"/>
                <c:pt idx="0">
                  <c:v>27607</c:v>
                </c:pt>
                <c:pt idx="1">
                  <c:v>23293</c:v>
                </c:pt>
              </c:numCache>
            </c:numRef>
          </c:val>
          <c:extLst>
            <c:ext xmlns:c16="http://schemas.microsoft.com/office/drawing/2014/chart" uri="{C3380CC4-5D6E-409C-BE32-E72D297353CC}">
              <c16:uniqueId val="{00000004-3D63-4635-818D-8233A660F53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[Vrinda_Store-Data-Analytics-Project.xlsx]Order Status!PivotTable7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endParaRPr lang="en-US" b="1"/>
          </a:p>
        </c:rich>
      </c:tx>
      <c:layout>
        <c:manualLayout>
          <c:xMode val="edge"/>
          <c:yMode val="edge"/>
          <c:x val="0.3036456692913385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83-48A8-B510-82DC7DC3F4D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c:f>
              <c:strCache>
                <c:ptCount val="1"/>
                <c:pt idx="0">
                  <c:v>Delivered</c:v>
                </c:pt>
              </c:strCache>
            </c:strRef>
          </c:cat>
          <c:val>
            <c:numRef>
              <c:f>'Order Status'!$B$4</c:f>
              <c:numCache>
                <c:formatCode>General</c:formatCode>
                <c:ptCount val="1"/>
                <c:pt idx="0">
                  <c:v>45</c:v>
                </c:pt>
              </c:numCache>
            </c:numRef>
          </c:val>
          <c:extLst>
            <c:ext xmlns:c16="http://schemas.microsoft.com/office/drawing/2014/chart" uri="{C3380CC4-5D6E-409C-BE32-E72D297353CC}">
              <c16:uniqueId val="{00000002-1D83-48A8-B510-82DC7DC3F4DF}"/>
            </c:ext>
          </c:extLst>
        </c:ser>
        <c:dLbls>
          <c:showLegendKey val="0"/>
          <c:showVal val="0"/>
          <c:showCatName val="0"/>
          <c:showSerName val="0"/>
          <c:showPercent val="0"/>
          <c:showBubbleSize val="0"/>
          <c:showLeaderLines val="0"/>
        </c:dLbls>
        <c:firstSliceAng val="5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[Vrinda_Store-Data-Analytics-Project.xlsx]Top 5 States!PivotTable8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States'!$A$4:$A$7</c:f>
              <c:strCache>
                <c:ptCount val="4"/>
                <c:pt idx="0">
                  <c:v>Haryana</c:v>
                </c:pt>
                <c:pt idx="1">
                  <c:v>Karnataka</c:v>
                </c:pt>
                <c:pt idx="2">
                  <c:v>Punjab</c:v>
                </c:pt>
                <c:pt idx="3">
                  <c:v>West Bengal</c:v>
                </c:pt>
              </c:strCache>
            </c:strRef>
          </c:cat>
          <c:val>
            <c:numRef>
              <c:f>'Top 5 States'!$B$4:$B$7</c:f>
              <c:numCache>
                <c:formatCode>General</c:formatCode>
                <c:ptCount val="4"/>
                <c:pt idx="0">
                  <c:v>17790</c:v>
                </c:pt>
                <c:pt idx="1">
                  <c:v>11238</c:v>
                </c:pt>
                <c:pt idx="2">
                  <c:v>11012</c:v>
                </c:pt>
                <c:pt idx="3">
                  <c:v>10860</c:v>
                </c:pt>
              </c:numCache>
            </c:numRef>
          </c:val>
          <c:extLst>
            <c:ext xmlns:c16="http://schemas.microsoft.com/office/drawing/2014/chart" uri="{C3380CC4-5D6E-409C-BE32-E72D297353CC}">
              <c16:uniqueId val="{00000000-610F-41F4-AD71-96EF21AE1CC0}"/>
            </c:ext>
          </c:extLst>
        </c:ser>
        <c:dLbls>
          <c:dLblPos val="outEnd"/>
          <c:showLegendKey val="0"/>
          <c:showVal val="1"/>
          <c:showCatName val="0"/>
          <c:showSerName val="0"/>
          <c:showPercent val="0"/>
          <c:showBubbleSize val="0"/>
        </c:dLbls>
        <c:gapWidth val="182"/>
        <c:axId val="758665567"/>
        <c:axId val="758672767"/>
      </c:barChart>
      <c:catAx>
        <c:axId val="75866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72767"/>
        <c:crosses val="autoZero"/>
        <c:auto val="1"/>
        <c:lblAlgn val="ctr"/>
        <c:lblOffset val="100"/>
        <c:noMultiLvlLbl val="0"/>
      </c:catAx>
      <c:valAx>
        <c:axId val="75867276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[Vrinda_Store-Data-Analytics-Project.xlsx]Order Age Vs Gender!PivotTable9</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t>Order:</a:t>
            </a:r>
            <a:r>
              <a:rPr lang="en-IN" sz="1100" b="1" baseline="0"/>
              <a:t> Age Vs Gender</a:t>
            </a:r>
            <a:endParaRPr lang="en-IN"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6602830009027"/>
          <c:y val="0.16708367975742164"/>
          <c:w val="0.71158114610673662"/>
          <c:h val="0.72088764946048411"/>
        </c:manualLayout>
      </c:layout>
      <c:barChart>
        <c:barDir val="col"/>
        <c:grouping val="clustered"/>
        <c:varyColors val="0"/>
        <c:ser>
          <c:idx val="0"/>
          <c:order val="0"/>
          <c:tx>
            <c:strRef>
              <c:f>'Order Age Vs Gender'!$B$3:$B$4</c:f>
              <c:strCache>
                <c:ptCount val="1"/>
                <c:pt idx="0">
                  <c:v>Men</c:v>
                </c:pt>
              </c:strCache>
            </c:strRef>
          </c:tx>
          <c:spPr>
            <a:solidFill>
              <a:schemeClr val="accent1"/>
            </a:solidFill>
            <a:ln>
              <a:noFill/>
            </a:ln>
            <a:effectLst/>
          </c:spPr>
          <c:invertIfNegative val="0"/>
          <c:cat>
            <c:strRef>
              <c:f>'Order Age Vs Gender'!$A$5:$A$7</c:f>
              <c:strCache>
                <c:ptCount val="3"/>
                <c:pt idx="0">
                  <c:v>adult</c:v>
                </c:pt>
                <c:pt idx="1">
                  <c:v>senior</c:v>
                </c:pt>
                <c:pt idx="2">
                  <c:v>teenager</c:v>
                </c:pt>
              </c:strCache>
            </c:strRef>
          </c:cat>
          <c:val>
            <c:numRef>
              <c:f>'Order Age Vs Gender'!$B$5:$B$7</c:f>
              <c:numCache>
                <c:formatCode>0.00%</c:formatCode>
                <c:ptCount val="3"/>
                <c:pt idx="0">
                  <c:v>0.22222222222222221</c:v>
                </c:pt>
                <c:pt idx="1">
                  <c:v>0.24444444444444444</c:v>
                </c:pt>
                <c:pt idx="2">
                  <c:v>0.13333333333333333</c:v>
                </c:pt>
              </c:numCache>
            </c:numRef>
          </c:val>
          <c:extLst>
            <c:ext xmlns:c16="http://schemas.microsoft.com/office/drawing/2014/chart" uri="{C3380CC4-5D6E-409C-BE32-E72D297353CC}">
              <c16:uniqueId val="{00000000-ECD5-43A4-8937-C8D9672B87BB}"/>
            </c:ext>
          </c:extLst>
        </c:ser>
        <c:ser>
          <c:idx val="1"/>
          <c:order val="1"/>
          <c:tx>
            <c:strRef>
              <c:f>'Order Age Vs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Age Vs Gender'!$A$5:$A$7</c:f>
              <c:strCache>
                <c:ptCount val="3"/>
                <c:pt idx="0">
                  <c:v>adult</c:v>
                </c:pt>
                <c:pt idx="1">
                  <c:v>senior</c:v>
                </c:pt>
                <c:pt idx="2">
                  <c:v>teenager</c:v>
                </c:pt>
              </c:strCache>
            </c:strRef>
          </c:cat>
          <c:val>
            <c:numRef>
              <c:f>'Order Age Vs Gender'!$C$5:$C$7</c:f>
              <c:numCache>
                <c:formatCode>0.00%</c:formatCode>
                <c:ptCount val="3"/>
                <c:pt idx="0">
                  <c:v>0.13333333333333333</c:v>
                </c:pt>
                <c:pt idx="1">
                  <c:v>0.17777777777777778</c:v>
                </c:pt>
                <c:pt idx="2">
                  <c:v>8.8888888888888892E-2</c:v>
                </c:pt>
              </c:numCache>
            </c:numRef>
          </c:val>
          <c:extLst>
            <c:ext xmlns:c16="http://schemas.microsoft.com/office/drawing/2014/chart" uri="{C3380CC4-5D6E-409C-BE32-E72D297353CC}">
              <c16:uniqueId val="{00000001-ECD5-43A4-8937-C8D9672B87BB}"/>
            </c:ext>
          </c:extLst>
        </c:ser>
        <c:dLbls>
          <c:showLegendKey val="0"/>
          <c:showVal val="0"/>
          <c:showCatName val="0"/>
          <c:showSerName val="0"/>
          <c:showPercent val="0"/>
          <c:showBubbleSize val="0"/>
        </c:dLbls>
        <c:gapWidth val="219"/>
        <c:overlap val="-27"/>
        <c:axId val="326428879"/>
        <c:axId val="326424079"/>
      </c:barChart>
      <c:catAx>
        <c:axId val="32642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24079"/>
        <c:crosses val="autoZero"/>
        <c:auto val="1"/>
        <c:lblAlgn val="ctr"/>
        <c:lblOffset val="100"/>
        <c:noMultiLvlLbl val="0"/>
      </c:catAx>
      <c:valAx>
        <c:axId val="326424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2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[Vrinda_Store-Data-Analytics-Project.xlsx]ordwe channel!PivotTable10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Channel</a:t>
            </a:r>
            <a:endParaRPr lang="en-US" b="1"/>
          </a:p>
        </c:rich>
      </c:tx>
      <c:layout>
        <c:manualLayout>
          <c:xMode val="edge"/>
          <c:yMode val="edge"/>
          <c:x val="0.22686962805090236"/>
          <c:y val="4.2429720763589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'ordwe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83-440D-81D7-2EA12C90ED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83-440D-81D7-2EA12C90ED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83-440D-81D7-2EA12C90ED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83-440D-81D7-2EA12C90ED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'ordwe channel'!$A$4</c:f>
              <c:strCache>
                <c:ptCount val="1"/>
                <c:pt idx="0">
                  <c:v>Ajio</c:v>
                </c:pt>
              </c:strCache>
            </c:strRef>
          </c:cat>
          <c:val>
            <c:numRef>
              <c:f>'ordwe channel'!$B$4</c:f>
              <c:numCache>
                <c:formatCode>0.00%</c:formatCode>
                <c:ptCount val="1"/>
                <c:pt idx="0">
                  <c:v>1</c:v>
                </c:pt>
              </c:numCache>
            </c:numRef>
          </c:val>
          <c:extLst>
            <c:ext xmlns:c16="http://schemas.microsoft.com/office/drawing/2014/chart" uri="{C3380CC4-5D6E-409C-BE32-E72D297353CC}">
              <c16:uniqueId val="{00000008-9E83-440D-81D7-2EA12C90ED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[Vrinda_Store-Data-Analytics-Project.xlsx]Sales Vs Order!PivotTable4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a:t>
            </a:r>
            <a:r>
              <a:rPr lang="en-IN" sz="1600" b="1" baseline="0"/>
              <a:t> vs Sales</a:t>
            </a:r>
            <a:endParaRPr lang="en-IN" sz="1600" b="1"/>
          </a:p>
        </c:rich>
      </c:tx>
      <c:layout>
        <c:manualLayout>
          <c:xMode val="edge"/>
          <c:yMode val="edge"/>
          <c:x val="0.1116388888888888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74553171478565172"/>
          <c:h val="0.72088764946048411"/>
        </c:manualLayout>
      </c:layout>
      <c:barChart>
        <c:barDir val="col"/>
        <c:grouping val="clustered"/>
        <c:varyColors val="0"/>
        <c:ser>
          <c:idx val="0"/>
          <c:order val="0"/>
          <c:tx>
            <c:strRef>
              <c:f>'Sales Vs Order'!$B$3</c:f>
              <c:strCache>
                <c:ptCount val="1"/>
                <c:pt idx="0">
                  <c:v>Sum of Amount</c:v>
                </c:pt>
              </c:strCache>
            </c:strRef>
          </c:tx>
          <c:spPr>
            <a:solidFill>
              <a:schemeClr val="accent1"/>
            </a:solidFill>
            <a:ln>
              <a:noFill/>
            </a:ln>
            <a:effectLst/>
          </c:spPr>
          <c:invertIfNegative val="0"/>
          <c:cat>
            <c:strRef>
              <c:f>'Sales Vs Order'!$A$4:$A$5</c:f>
              <c:strCache>
                <c:ptCount val="1"/>
                <c:pt idx="0">
                  <c:v>Dec</c:v>
                </c:pt>
              </c:strCache>
            </c:strRef>
          </c:cat>
          <c:val>
            <c:numRef>
              <c:f>'Sales Vs Order'!$B$4:$B$5</c:f>
              <c:numCache>
                <c:formatCode>General</c:formatCode>
                <c:ptCount val="1"/>
                <c:pt idx="0">
                  <c:v>50900</c:v>
                </c:pt>
              </c:numCache>
            </c:numRef>
          </c:val>
          <c:extLst>
            <c:ext xmlns:c16="http://schemas.microsoft.com/office/drawing/2014/chart" uri="{C3380CC4-5D6E-409C-BE32-E72D297353CC}">
              <c16:uniqueId val="{00000000-22DB-4535-9E84-F15AA327BE7F}"/>
            </c:ext>
          </c:extLst>
        </c:ser>
        <c:dLbls>
          <c:showLegendKey val="0"/>
          <c:showVal val="0"/>
          <c:showCatName val="0"/>
          <c:showSerName val="0"/>
          <c:showPercent val="0"/>
          <c:showBubbleSize val="0"/>
        </c:dLbls>
        <c:gapWidth val="219"/>
        <c:overlap val="-27"/>
        <c:axId val="601953807"/>
        <c:axId val="601954287"/>
      </c:barChart>
      <c:lineChart>
        <c:grouping val="standard"/>
        <c:varyColors val="0"/>
        <c:ser>
          <c:idx val="1"/>
          <c:order val="1"/>
          <c:tx>
            <c:strRef>
              <c:f>'Sales Vs Order'!$C$3</c:f>
              <c:strCache>
                <c:ptCount val="1"/>
                <c:pt idx="0">
                  <c:v>Count of Order ID</c:v>
                </c:pt>
              </c:strCache>
            </c:strRef>
          </c:tx>
          <c:spPr>
            <a:ln w="28575" cap="rnd">
              <a:solidFill>
                <a:schemeClr val="accent2"/>
              </a:solidFill>
              <a:round/>
            </a:ln>
            <a:effectLst/>
          </c:spPr>
          <c:marker>
            <c:symbol val="none"/>
          </c:marker>
          <c:cat>
            <c:strRef>
              <c:f>'Sales Vs Order'!$A$4:$A$5</c:f>
              <c:strCache>
                <c:ptCount val="1"/>
                <c:pt idx="0">
                  <c:v>Dec</c:v>
                </c:pt>
              </c:strCache>
            </c:strRef>
          </c:cat>
          <c:val>
            <c:numRef>
              <c:f>'Sales Vs Order'!$C$4:$C$5</c:f>
              <c:numCache>
                <c:formatCode>General</c:formatCode>
                <c:ptCount val="1"/>
                <c:pt idx="0">
                  <c:v>45</c:v>
                </c:pt>
              </c:numCache>
            </c:numRef>
          </c:val>
          <c:smooth val="0"/>
          <c:extLst>
            <c:ext xmlns:c16="http://schemas.microsoft.com/office/drawing/2014/chart" uri="{C3380CC4-5D6E-409C-BE32-E72D297353CC}">
              <c16:uniqueId val="{00000001-22DB-4535-9E84-F15AA327BE7F}"/>
            </c:ext>
          </c:extLst>
        </c:ser>
        <c:dLbls>
          <c:showLegendKey val="0"/>
          <c:showVal val="0"/>
          <c:showCatName val="0"/>
          <c:showSerName val="0"/>
          <c:showPercent val="0"/>
          <c:showBubbleSize val="0"/>
        </c:dLbls>
        <c:marker val="1"/>
        <c:smooth val="0"/>
        <c:axId val="328765519"/>
        <c:axId val="601956207"/>
      </c:lineChart>
      <c:catAx>
        <c:axId val="6019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4287"/>
        <c:crosses val="autoZero"/>
        <c:auto val="1"/>
        <c:lblAlgn val="ctr"/>
        <c:lblOffset val="100"/>
        <c:noMultiLvlLbl val="0"/>
      </c:catAx>
      <c:valAx>
        <c:axId val="601954287"/>
        <c:scaling>
          <c:orientation val="minMax"/>
        </c:scaling>
        <c:delete val="0"/>
        <c:axPos val="l"/>
        <c:majorGridlines>
          <c:spPr>
            <a:ln w="9525" cap="flat" cmpd="sng" algn="ctr">
              <a:solidFill>
                <a:schemeClr val="tx1">
                  <a:lumMod val="15000"/>
                  <a:lumOff val="85000"/>
                </a:schemeClr>
              </a:solidFill>
              <a:round/>
            </a:ln>
            <a:effectLst/>
          </c:spPr>
        </c:majorGridlines>
        <c:numFmt formatCode="\1.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953807"/>
        <c:crosses val="autoZero"/>
        <c:crossBetween val="between"/>
      </c:valAx>
      <c:valAx>
        <c:axId val="6019562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65519"/>
        <c:crosses val="max"/>
        <c:crossBetween val="between"/>
      </c:valAx>
      <c:catAx>
        <c:axId val="328765519"/>
        <c:scaling>
          <c:orientation val="minMax"/>
        </c:scaling>
        <c:delete val="1"/>
        <c:axPos val="b"/>
        <c:numFmt formatCode="General" sourceLinked="1"/>
        <c:majorTickMark val="out"/>
        <c:minorTickMark val="none"/>
        <c:tickLblPos val="nextTo"/>
        <c:crossAx val="601956207"/>
        <c:auto val="1"/>
        <c:lblAlgn val="ctr"/>
        <c:lblOffset val="100"/>
        <c:noMultiLvlLbl val="0"/>
      </c:catAx>
      <c:spPr>
        <a:noFill/>
        <a:ln>
          <a:noFill/>
        </a:ln>
        <a:effectLst/>
      </c:spPr>
    </c:plotArea>
    <c:legend>
      <c:legendPos val="r"/>
      <c:layout>
        <c:manualLayout>
          <c:xMode val="edge"/>
          <c:yMode val="edge"/>
          <c:x val="0.45591579177602798"/>
          <c:y val="7.8630796150481043E-4"/>
          <c:w val="0.53019531933508302"/>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[Vrinda_Store-Data-Analytics-Project.xlsx]Men Va Women!PivotTable5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Man Vs Women</a:t>
            </a:r>
            <a:endParaRPr lang="en-US" b="1"/>
          </a:p>
        </c:rich>
      </c:tx>
      <c:layout>
        <c:manualLayout>
          <c:xMode val="edge"/>
          <c:yMode val="edge"/>
          <c:x val="9.496522309711283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555555555555567"/>
              <c:y val="-9.25925925925934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4166666666666666"/>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Va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239-4906-97DC-99A2FF952D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39-4906-97DC-99A2FF952DFF}"/>
              </c:ext>
            </c:extLst>
          </c:dPt>
          <c:dLbls>
            <c:dLbl>
              <c:idx val="0"/>
              <c:layout>
                <c:manualLayout>
                  <c:x val="-0.15555555555555567"/>
                  <c:y val="-9.259259259259343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239-4906-97DC-99A2FF952DFF}"/>
                </c:ext>
              </c:extLst>
            </c:dLbl>
            <c:dLbl>
              <c:idx val="1"/>
              <c:layout>
                <c:manualLayout>
                  <c:x val="0.14166666666666666"/>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39-4906-97DC-99A2FF952D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Va Women'!$A$4:$A$5</c:f>
              <c:strCache>
                <c:ptCount val="2"/>
                <c:pt idx="0">
                  <c:v>Men</c:v>
                </c:pt>
                <c:pt idx="1">
                  <c:v>Women</c:v>
                </c:pt>
              </c:strCache>
            </c:strRef>
          </c:cat>
          <c:val>
            <c:numRef>
              <c:f>'Men Va Women'!$B$4:$B$5</c:f>
              <c:numCache>
                <c:formatCode>General</c:formatCode>
                <c:ptCount val="2"/>
                <c:pt idx="0">
                  <c:v>27607</c:v>
                </c:pt>
                <c:pt idx="1">
                  <c:v>23293</c:v>
                </c:pt>
              </c:numCache>
            </c:numRef>
          </c:val>
          <c:extLst>
            <c:ext xmlns:c16="http://schemas.microsoft.com/office/drawing/2014/chart" uri="{C3380CC4-5D6E-409C-BE32-E72D297353CC}">
              <c16:uniqueId val="{00000000-D239-4906-97DC-99A2FF952DF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4712051618547686"/>
          <c:y val="3.7823344998541841E-2"/>
          <c:w val="0.41121281714785646"/>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[Vrinda_Store-Data-Analytics-Project.xlsx]Order Status!PivotTable7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endParaRPr lang="en-US" b="1"/>
          </a:p>
        </c:rich>
      </c:tx>
      <c:layout>
        <c:manualLayout>
          <c:xMode val="edge"/>
          <c:yMode val="edge"/>
          <c:x val="0.3036456692913385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 Status'!$B$3</c:f>
              <c:strCache>
                <c:ptCount val="1"/>
                <c:pt idx="0">
                  <c:v>Total</c:v>
                </c:pt>
              </c:strCache>
            </c:strRef>
          </c:tx>
          <c:explosion val="10"/>
          <c:dPt>
            <c:idx val="0"/>
            <c:bubble3D val="0"/>
            <c:spPr>
              <a:solidFill>
                <a:schemeClr val="accent1"/>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c:f>
              <c:strCache>
                <c:ptCount val="1"/>
                <c:pt idx="0">
                  <c:v>Delivered</c:v>
                </c:pt>
              </c:strCache>
            </c:strRef>
          </c:cat>
          <c:val>
            <c:numRef>
              <c:f>'Order Status'!$B$4</c:f>
              <c:numCache>
                <c:formatCode>General</c:formatCode>
                <c:ptCount val="1"/>
                <c:pt idx="0">
                  <c:v>45</c:v>
                </c:pt>
              </c:numCache>
            </c:numRef>
          </c:val>
          <c:extLst>
            <c:ext xmlns:c16="http://schemas.microsoft.com/office/drawing/2014/chart" uri="{C3380CC4-5D6E-409C-BE32-E72D297353CC}">
              <c16:uniqueId val="{00000000-513D-42A9-8B2B-6B82A5AF443B}"/>
            </c:ext>
          </c:extLst>
        </c:ser>
        <c:dLbls>
          <c:showLegendKey val="0"/>
          <c:showVal val="0"/>
          <c:showCatName val="0"/>
          <c:showSerName val="0"/>
          <c:showPercent val="0"/>
          <c:showBubbleSize val="0"/>
          <c:showLeaderLines val="0"/>
        </c:dLbls>
        <c:firstSliceAng val="5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[Vrinda_Store-Data-Analytics-Project.xlsx]Top 5 States!PivotTable8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States'!$A$4:$A$7</c:f>
              <c:strCache>
                <c:ptCount val="4"/>
                <c:pt idx="0">
                  <c:v>Haryana</c:v>
                </c:pt>
                <c:pt idx="1">
                  <c:v>Karnataka</c:v>
                </c:pt>
                <c:pt idx="2">
                  <c:v>Punjab</c:v>
                </c:pt>
                <c:pt idx="3">
                  <c:v>West Bengal</c:v>
                </c:pt>
              </c:strCache>
            </c:strRef>
          </c:cat>
          <c:val>
            <c:numRef>
              <c:f>'Top 5 States'!$B$4:$B$7</c:f>
              <c:numCache>
                <c:formatCode>General</c:formatCode>
                <c:ptCount val="4"/>
                <c:pt idx="0">
                  <c:v>17790</c:v>
                </c:pt>
                <c:pt idx="1">
                  <c:v>11238</c:v>
                </c:pt>
                <c:pt idx="2">
                  <c:v>11012</c:v>
                </c:pt>
                <c:pt idx="3">
                  <c:v>10860</c:v>
                </c:pt>
              </c:numCache>
            </c:numRef>
          </c:val>
          <c:extLst>
            <c:ext xmlns:c16="http://schemas.microsoft.com/office/drawing/2014/chart" uri="{C3380CC4-5D6E-409C-BE32-E72D297353CC}">
              <c16:uniqueId val="{00000000-D3C9-4A02-AAFF-E93D3BC6ED1A}"/>
            </c:ext>
          </c:extLst>
        </c:ser>
        <c:dLbls>
          <c:dLblPos val="outEnd"/>
          <c:showLegendKey val="0"/>
          <c:showVal val="1"/>
          <c:showCatName val="0"/>
          <c:showSerName val="0"/>
          <c:showPercent val="0"/>
          <c:showBubbleSize val="0"/>
        </c:dLbls>
        <c:gapWidth val="182"/>
        <c:axId val="758665567"/>
        <c:axId val="758672767"/>
      </c:barChart>
      <c:catAx>
        <c:axId val="75866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72767"/>
        <c:crosses val="autoZero"/>
        <c:auto val="1"/>
        <c:lblAlgn val="ctr"/>
        <c:lblOffset val="100"/>
        <c:noMultiLvlLbl val="0"/>
      </c:catAx>
      <c:valAx>
        <c:axId val="75867276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[Vrinda_Store-Data-Analytics-Project.xlsx]Order Age Vs Gender!PivotTable9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a:t>
            </a:r>
            <a:r>
              <a:rPr lang="en-IN" b="1" baseline="0"/>
              <a:t> Age Vs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Age Vs Gender'!$B$3:$B$4</c:f>
              <c:strCache>
                <c:ptCount val="1"/>
                <c:pt idx="0">
                  <c:v>Men</c:v>
                </c:pt>
              </c:strCache>
            </c:strRef>
          </c:tx>
          <c:spPr>
            <a:solidFill>
              <a:schemeClr val="accent1"/>
            </a:solidFill>
            <a:ln>
              <a:noFill/>
            </a:ln>
            <a:effectLst/>
          </c:spPr>
          <c:invertIfNegative val="0"/>
          <c:cat>
            <c:strRef>
              <c:f>'Order Age Vs Gender'!$A$5:$A$7</c:f>
              <c:strCache>
                <c:ptCount val="3"/>
                <c:pt idx="0">
                  <c:v>adult</c:v>
                </c:pt>
                <c:pt idx="1">
                  <c:v>senior</c:v>
                </c:pt>
                <c:pt idx="2">
                  <c:v>teenager</c:v>
                </c:pt>
              </c:strCache>
            </c:strRef>
          </c:cat>
          <c:val>
            <c:numRef>
              <c:f>'Order Age Vs Gender'!$B$5:$B$7</c:f>
              <c:numCache>
                <c:formatCode>0.00%</c:formatCode>
                <c:ptCount val="3"/>
                <c:pt idx="0">
                  <c:v>0.22222222222222221</c:v>
                </c:pt>
                <c:pt idx="1">
                  <c:v>0.24444444444444444</c:v>
                </c:pt>
                <c:pt idx="2">
                  <c:v>0.13333333333333333</c:v>
                </c:pt>
              </c:numCache>
            </c:numRef>
          </c:val>
          <c:extLst>
            <c:ext xmlns:c16="http://schemas.microsoft.com/office/drawing/2014/chart" uri="{C3380CC4-5D6E-409C-BE32-E72D297353CC}">
              <c16:uniqueId val="{00000000-9A35-4328-9B33-3EEB71409402}"/>
            </c:ext>
          </c:extLst>
        </c:ser>
        <c:ser>
          <c:idx val="1"/>
          <c:order val="1"/>
          <c:tx>
            <c:strRef>
              <c:f>'Order Age Vs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Age Vs Gender'!$A$5:$A$7</c:f>
              <c:strCache>
                <c:ptCount val="3"/>
                <c:pt idx="0">
                  <c:v>adult</c:v>
                </c:pt>
                <c:pt idx="1">
                  <c:v>senior</c:v>
                </c:pt>
                <c:pt idx="2">
                  <c:v>teenager</c:v>
                </c:pt>
              </c:strCache>
            </c:strRef>
          </c:cat>
          <c:val>
            <c:numRef>
              <c:f>'Order Age Vs Gender'!$C$5:$C$7</c:f>
              <c:numCache>
                <c:formatCode>0.00%</c:formatCode>
                <c:ptCount val="3"/>
                <c:pt idx="0">
                  <c:v>0.13333333333333333</c:v>
                </c:pt>
                <c:pt idx="1">
                  <c:v>0.17777777777777778</c:v>
                </c:pt>
                <c:pt idx="2">
                  <c:v>8.8888888888888892E-2</c:v>
                </c:pt>
              </c:numCache>
            </c:numRef>
          </c:val>
          <c:extLst>
            <c:ext xmlns:c16="http://schemas.microsoft.com/office/drawing/2014/chart" uri="{C3380CC4-5D6E-409C-BE32-E72D297353CC}">
              <c16:uniqueId val="{00000001-9A35-4328-9B33-3EEB71409402}"/>
            </c:ext>
          </c:extLst>
        </c:ser>
        <c:dLbls>
          <c:showLegendKey val="0"/>
          <c:showVal val="0"/>
          <c:showCatName val="0"/>
          <c:showSerName val="0"/>
          <c:showPercent val="0"/>
          <c:showBubbleSize val="0"/>
        </c:dLbls>
        <c:gapWidth val="219"/>
        <c:overlap val="-27"/>
        <c:axId val="326428879"/>
        <c:axId val="326424079"/>
      </c:barChart>
      <c:catAx>
        <c:axId val="32642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24079"/>
        <c:crosses val="autoZero"/>
        <c:auto val="1"/>
        <c:lblAlgn val="ctr"/>
        <c:lblOffset val="100"/>
        <c:noMultiLvlLbl val="0"/>
      </c:catAx>
      <c:valAx>
        <c:axId val="326424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2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[Vrinda_Store-Data-Analytics-Project.xlsx]ordwe channel!PivotTable10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Channel</a:t>
            </a:r>
            <a:endParaRPr lang="en-US" b="1"/>
          </a:p>
        </c:rich>
      </c:tx>
      <c:layout>
        <c:manualLayout>
          <c:xMode val="edge"/>
          <c:yMode val="edge"/>
          <c:x val="0.3771041119860017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'ordwe channel'!$B$3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'ordwe channel'!$A$4</c:f>
              <c:strCache>
                <c:ptCount val="1"/>
                <c:pt idx="0">
                  <c:v>Ajio</c:v>
                </c:pt>
              </c:strCache>
            </c:strRef>
          </c:cat>
          <c:val>
            <c:numRef>
              <c:f>'ordwe channel'!$B$4</c:f>
              <c:numCache>
                <c:formatCode>0.00%</c:formatCode>
                <c:ptCount val="1"/>
                <c:pt idx="0">
                  <c:v>1</c:v>
                </c:pt>
              </c:numCache>
            </c:numRef>
          </c:val>
          <c:extLst>
            <c:ext xmlns:c16="http://schemas.microsoft.com/office/drawing/2014/chart" uri="{C3380CC4-5D6E-409C-BE32-E72D297353CC}">
              <c16:uniqueId val="{00000000-1344-48E3-9F52-470AB7FD6F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285750</xdr:rowOff>
    </xdr:from>
    <xdr:to>
      <xdr:col>4</xdr:col>
      <xdr:colOff>285750</xdr:colOff>
      <xdr:row>9</xdr:row>
      <xdr:rowOff>28575</xdr:rowOff>
    </xdr:to>
    <xdr:graphicFrame macro="">
      <xdr:nvGraphicFramePr>
        <xdr:cNvPr id="2" name="Chart 1">
          <a:extLst>
            <a:ext uri="{FF2B5EF4-FFF2-40B4-BE49-F238E27FC236}">
              <a16:creationId xmlns:a16="http://schemas.microsoft.com/office/drawing/2014/main" id="{320B6C66-0781-4185-B4B1-5A036D245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0</xdr:row>
      <xdr:rowOff>285750</xdr:rowOff>
    </xdr:from>
    <xdr:to>
      <xdr:col>7</xdr:col>
      <xdr:colOff>428625</xdr:colOff>
      <xdr:row>9</xdr:row>
      <xdr:rowOff>19050</xdr:rowOff>
    </xdr:to>
    <xdr:graphicFrame macro="">
      <xdr:nvGraphicFramePr>
        <xdr:cNvPr id="4" name="Chart 3">
          <a:extLst>
            <a:ext uri="{FF2B5EF4-FFF2-40B4-BE49-F238E27FC236}">
              <a16:creationId xmlns:a16="http://schemas.microsoft.com/office/drawing/2014/main" id="{F24437C2-7C90-435C-B8A5-60D96F11D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0</xdr:row>
      <xdr:rowOff>276224</xdr:rowOff>
    </xdr:from>
    <xdr:to>
      <xdr:col>11</xdr:col>
      <xdr:colOff>95250</xdr:colOff>
      <xdr:row>9</xdr:row>
      <xdr:rowOff>28574</xdr:rowOff>
    </xdr:to>
    <xdr:graphicFrame macro="">
      <xdr:nvGraphicFramePr>
        <xdr:cNvPr id="5" name="Chart 4">
          <a:extLst>
            <a:ext uri="{FF2B5EF4-FFF2-40B4-BE49-F238E27FC236}">
              <a16:creationId xmlns:a16="http://schemas.microsoft.com/office/drawing/2014/main" id="{6CA0B4BF-F623-4E59-8B25-E60F9F134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142874</xdr:rowOff>
    </xdr:from>
    <xdr:to>
      <xdr:col>4</xdr:col>
      <xdr:colOff>285750</xdr:colOff>
      <xdr:row>17</xdr:row>
      <xdr:rowOff>152399</xdr:rowOff>
    </xdr:to>
    <xdr:graphicFrame macro="">
      <xdr:nvGraphicFramePr>
        <xdr:cNvPr id="7" name="Chart 6">
          <a:extLst>
            <a:ext uri="{FF2B5EF4-FFF2-40B4-BE49-F238E27FC236}">
              <a16:creationId xmlns:a16="http://schemas.microsoft.com/office/drawing/2014/main" id="{0545C490-5134-40A6-B780-05C15C8BC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342901</xdr:colOff>
      <xdr:row>9</xdr:row>
      <xdr:rowOff>133349</xdr:rowOff>
    </xdr:from>
    <xdr:to>
      <xdr:col>7</xdr:col>
      <xdr:colOff>438151</xdr:colOff>
      <xdr:row>17</xdr:row>
      <xdr:rowOff>142874</xdr:rowOff>
    </xdr:to>
    <xdr:graphicFrame macro="">
      <xdr:nvGraphicFramePr>
        <xdr:cNvPr id="8" name="Chart 7">
          <a:extLst>
            <a:ext uri="{FF2B5EF4-FFF2-40B4-BE49-F238E27FC236}">
              <a16:creationId xmlns:a16="http://schemas.microsoft.com/office/drawing/2014/main" id="{3DA64EDF-A31D-4AA8-9816-842C42435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485775</xdr:colOff>
      <xdr:row>9</xdr:row>
      <xdr:rowOff>133349</xdr:rowOff>
    </xdr:from>
    <xdr:to>
      <xdr:col>11</xdr:col>
      <xdr:colOff>76201</xdr:colOff>
      <xdr:row>17</xdr:row>
      <xdr:rowOff>142874</xdr:rowOff>
    </xdr:to>
    <xdr:graphicFrame macro="">
      <xdr:nvGraphicFramePr>
        <xdr:cNvPr id="9" name="Chart 8">
          <a:extLst>
            <a:ext uri="{FF2B5EF4-FFF2-40B4-BE49-F238E27FC236}">
              <a16:creationId xmlns:a16="http://schemas.microsoft.com/office/drawing/2014/main" id="{26BE8EFC-2102-4D65-9074-9ED852B4A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200026</xdr:colOff>
      <xdr:row>0</xdr:row>
      <xdr:rowOff>266700</xdr:rowOff>
    </xdr:from>
    <xdr:to>
      <xdr:col>12</xdr:col>
      <xdr:colOff>504826</xdr:colOff>
      <xdr:row>5</xdr:row>
      <xdr:rowOff>19050</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F227631F-0291-ABAC-DEA2-D302B82A24F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905626" y="266700"/>
              <a:ext cx="914400"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5</xdr:row>
      <xdr:rowOff>66676</xdr:rowOff>
    </xdr:from>
    <xdr:to>
      <xdr:col>12</xdr:col>
      <xdr:colOff>533400</xdr:colOff>
      <xdr:row>9</xdr:row>
      <xdr:rowOff>38100</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1143BF81-786B-9289-F90F-EB06B41F1B9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905625" y="1123951"/>
              <a:ext cx="942975"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219074</xdr:colOff>
      <xdr:row>9</xdr:row>
      <xdr:rowOff>133352</xdr:rowOff>
    </xdr:from>
    <xdr:to>
      <xdr:col>12</xdr:col>
      <xdr:colOff>542925</xdr:colOff>
      <xdr:row>17</xdr:row>
      <xdr:rowOff>133350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69A9E0E6-9E1C-6B71-826C-AC04D363A6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24674" y="1952627"/>
              <a:ext cx="933451" cy="1523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1</xdr:row>
      <xdr:rowOff>52387</xdr:rowOff>
    </xdr:from>
    <xdr:to>
      <xdr:col>10</xdr:col>
      <xdr:colOff>466725</xdr:colOff>
      <xdr:row>15</xdr:row>
      <xdr:rowOff>128587</xdr:rowOff>
    </xdr:to>
    <xdr:graphicFrame macro="">
      <xdr:nvGraphicFramePr>
        <xdr:cNvPr id="2" name="Chart 1">
          <a:extLst>
            <a:ext uri="{FF2B5EF4-FFF2-40B4-BE49-F238E27FC236}">
              <a16:creationId xmlns:a16="http://schemas.microsoft.com/office/drawing/2014/main" id="{3D8976A3-5485-6283-76E4-7CF511701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638175</xdr:colOff>
      <xdr:row>5</xdr:row>
      <xdr:rowOff>90487</xdr:rowOff>
    </xdr:from>
    <xdr:to>
      <xdr:col>8</xdr:col>
      <xdr:colOff>561975</xdr:colOff>
      <xdr:row>19</xdr:row>
      <xdr:rowOff>166687</xdr:rowOff>
    </xdr:to>
    <xdr:graphicFrame macro="">
      <xdr:nvGraphicFramePr>
        <xdr:cNvPr id="2" name="Chart 1">
          <a:extLst>
            <a:ext uri="{FF2B5EF4-FFF2-40B4-BE49-F238E27FC236}">
              <a16:creationId xmlns:a16="http://schemas.microsoft.com/office/drawing/2014/main" id="{3D07BC6A-DDF1-84C2-F657-A71C1E9E5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819150</xdr:colOff>
      <xdr:row>3</xdr:row>
      <xdr:rowOff>185737</xdr:rowOff>
    </xdr:from>
    <xdr:to>
      <xdr:col>9</xdr:col>
      <xdr:colOff>19050</xdr:colOff>
      <xdr:row>18</xdr:row>
      <xdr:rowOff>71437</xdr:rowOff>
    </xdr:to>
    <xdr:graphicFrame macro="">
      <xdr:nvGraphicFramePr>
        <xdr:cNvPr id="2" name="Chart 1">
          <a:extLst>
            <a:ext uri="{FF2B5EF4-FFF2-40B4-BE49-F238E27FC236}">
              <a16:creationId xmlns:a16="http://schemas.microsoft.com/office/drawing/2014/main" id="{39A9E9BE-7842-578C-BC0C-66DB74B02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90487</xdr:colOff>
      <xdr:row>3</xdr:row>
      <xdr:rowOff>185737</xdr:rowOff>
    </xdr:from>
    <xdr:to>
      <xdr:col>8</xdr:col>
      <xdr:colOff>14287</xdr:colOff>
      <xdr:row>18</xdr:row>
      <xdr:rowOff>71437</xdr:rowOff>
    </xdr:to>
    <xdr:graphicFrame macro="">
      <xdr:nvGraphicFramePr>
        <xdr:cNvPr id="2" name="Chart 1">
          <a:extLst>
            <a:ext uri="{FF2B5EF4-FFF2-40B4-BE49-F238E27FC236}">
              <a16:creationId xmlns:a16="http://schemas.microsoft.com/office/drawing/2014/main" id="{656545EE-BFC8-BCED-5009-F69F210DD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966787</xdr:colOff>
      <xdr:row>3</xdr:row>
      <xdr:rowOff>185737</xdr:rowOff>
    </xdr:from>
    <xdr:to>
      <xdr:col>7</xdr:col>
      <xdr:colOff>223837</xdr:colOff>
      <xdr:row>18</xdr:row>
      <xdr:rowOff>71437</xdr:rowOff>
    </xdr:to>
    <xdr:graphicFrame macro="">
      <xdr:nvGraphicFramePr>
        <xdr:cNvPr id="2" name="Chart 1">
          <a:extLst>
            <a:ext uri="{FF2B5EF4-FFF2-40B4-BE49-F238E27FC236}">
              <a16:creationId xmlns:a16="http://schemas.microsoft.com/office/drawing/2014/main" id="{25DF2FDE-CA93-9103-1AD9-B8EFF3501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90487</xdr:colOff>
      <xdr:row>3</xdr:row>
      <xdr:rowOff>185737</xdr:rowOff>
    </xdr:from>
    <xdr:to>
      <xdr:col>7</xdr:col>
      <xdr:colOff>509587</xdr:colOff>
      <xdr:row>18</xdr:row>
      <xdr:rowOff>71437</xdr:rowOff>
    </xdr:to>
    <xdr:graphicFrame macro="">
      <xdr:nvGraphicFramePr>
        <xdr:cNvPr id="2" name="Chart 1">
          <a:extLst>
            <a:ext uri="{FF2B5EF4-FFF2-40B4-BE49-F238E27FC236}">
              <a16:creationId xmlns:a16="http://schemas.microsoft.com/office/drawing/2014/main" id="{FB97A8A0-341E-76C7-B544-BE3B76683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4.441657175928" createdVersion="8" refreshedVersion="8" minRefreshableVersion="3" recordCount="500" xr:uid="{D3B93617-BBC3-4B89-9E93-BD6BE0325F04}">
  <cacheSource type="worksheet">
    <worksheetSource ref="A1:U501" sheet="Sheet"/>
  </cacheSource>
  <cacheFields count="21">
    <cacheField name="Index" numFmtId="0">
      <sharedItems containsSemiMixedTypes="0" containsString="0" containsNumber="1" containsInteger="1" minValue="1" maxValue="500"/>
    </cacheField>
    <cacheField name="Order ID" numFmtId="0">
      <sharedItems/>
    </cacheField>
    <cacheField name="Cust ID" numFmtId="0">
      <sharedItems containsSemiMixedTypes="0" containsString="0" containsNumber="1" containsInteger="1" minValue="101246" maxValue="999709"/>
    </cacheField>
    <cacheField name="Gender" numFmtId="0">
      <sharedItems count="2">
        <s v="Women"/>
        <s v="Men"/>
      </sharedItems>
    </cacheField>
    <cacheField name=" age" numFmtId="0">
      <sharedItems containsSemiMixedTypes="0" containsString="0" containsNumber="1" containsInteger="1" minValue="18" maxValue="70"/>
    </cacheField>
    <cacheField name="Age Group" numFmtId="0">
      <sharedItems count="3">
        <s v="adult"/>
        <s v="teenager"/>
        <s v="senior"/>
      </sharedItems>
    </cacheField>
    <cacheField name=" date" numFmtId="0">
      <sharedItems count="1">
        <s v="04-12-2022"/>
      </sharedItems>
    </cacheField>
    <cacheField name="month" numFmtId="0">
      <sharedItems count="1">
        <s v="Dec"/>
      </sharedItems>
    </cacheField>
    <cacheField name="Status" numFmtId="0">
      <sharedItems count="1">
        <s v="Delivered"/>
      </sharedItems>
    </cacheField>
    <cacheField name="Channel" numFmtId="0">
      <sharedItems count="4">
        <s v="Myntra"/>
        <s v="Amazon"/>
        <s v="Ajio"/>
        <s v="Flipkart"/>
      </sharedItems>
    </cacheField>
    <cacheField name="SKU" numFmtId="0">
      <sharedItems/>
    </cacheField>
    <cacheField name="Category" numFmtId="0">
      <sharedItems count="3">
        <s v="Set"/>
        <s v="Top"/>
        <s v="Kurta"/>
      </sharedItems>
    </cacheField>
    <cacheField name="Size" numFmtId="0">
      <sharedItems/>
    </cacheField>
    <cacheField name="Qty" numFmtId="0">
      <sharedItems containsSemiMixedTypes="0" containsString="0" containsNumber="1" containsInteger="1" minValue="1" maxValue="1"/>
    </cacheField>
    <cacheField name="Currency" numFmtId="0">
      <sharedItems/>
    </cacheField>
    <cacheField name="Amount" numFmtId="0">
      <sharedItems containsSemiMixedTypes="0" containsString="0" containsNumber="1" containsInteger="1" minValue="300" maxValue="1999"/>
    </cacheField>
    <cacheField name="Ship-City" numFmtId="0">
      <sharedItems/>
    </cacheField>
    <cacheField name="Ship-State" numFmtId="0">
      <sharedItems count="4">
        <s v="Punjab"/>
        <s v="Haryana"/>
        <s v="Karnataka"/>
        <s v="West Bengal"/>
      </sharedItems>
    </cacheField>
    <cacheField name="Ship-Postal-Code" numFmtId="0">
      <sharedItems/>
    </cacheField>
    <cacheField name="Ship-Country" numFmtId="0">
      <sharedItems/>
    </cacheField>
    <cacheField name="B2B" numFmtId="0">
      <sharedItems/>
    </cacheField>
  </cacheFields>
  <extLst>
    <ext xmlns:x14="http://schemas.microsoft.com/office/spreadsheetml/2009/9/main" uri="{725AE2AE-9491-48be-B2B4-4EB974FC3084}">
      <x14:pivotCacheDefinition pivotCacheId="343327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562-6252798-1877448"/>
    <n v="303013"/>
    <x v="0"/>
    <n v="44"/>
    <x v="0"/>
    <x v="0"/>
    <x v="0"/>
    <x v="0"/>
    <x v="0"/>
    <s v="SKU9969"/>
    <x v="0"/>
    <s v="XXL"/>
    <n v="1"/>
    <s v="INR"/>
    <n v="1322"/>
    <s v="Mohali"/>
    <x v="0"/>
    <s v="160055"/>
    <s v="India"/>
    <s v="Yes"/>
  </r>
  <r>
    <n v="2"/>
    <s v="658-8212112-9272359"/>
    <n v="514986"/>
    <x v="1"/>
    <n v="45"/>
    <x v="0"/>
    <x v="0"/>
    <x v="0"/>
    <x v="0"/>
    <x v="1"/>
    <s v="SKU7883"/>
    <x v="0"/>
    <s v="XL"/>
    <n v="1"/>
    <s v="INR"/>
    <n v="409"/>
    <s v="Gurugram"/>
    <x v="1"/>
    <s v="122001"/>
    <s v="India"/>
    <s v="Yes"/>
  </r>
  <r>
    <n v="3"/>
    <s v="598-7339469-2235777"/>
    <n v="188020"/>
    <x v="0"/>
    <n v="24"/>
    <x v="1"/>
    <x v="0"/>
    <x v="0"/>
    <x v="0"/>
    <x v="2"/>
    <s v="SKU5781"/>
    <x v="1"/>
    <s v="XL"/>
    <n v="1"/>
    <s v="INR"/>
    <n v="1503"/>
    <s v="Mohali"/>
    <x v="0"/>
    <s v="160055"/>
    <s v="India"/>
    <s v="No"/>
  </r>
  <r>
    <n v="4"/>
    <s v="188-3617951-2934708"/>
    <n v="851990"/>
    <x v="1"/>
    <n v="59"/>
    <x v="2"/>
    <x v="0"/>
    <x v="0"/>
    <x v="0"/>
    <x v="3"/>
    <s v="SKU2882"/>
    <x v="0"/>
    <s v="M"/>
    <n v="1"/>
    <s v="INR"/>
    <n v="643"/>
    <s v="Mohali"/>
    <x v="0"/>
    <s v="160055"/>
    <s v="India"/>
    <s v="Yes"/>
  </r>
  <r>
    <n v="5"/>
    <s v="923-8629334-7151243"/>
    <n v="531474"/>
    <x v="0"/>
    <n v="63"/>
    <x v="2"/>
    <x v="0"/>
    <x v="0"/>
    <x v="0"/>
    <x v="2"/>
    <s v="SKU6042"/>
    <x v="1"/>
    <s v="S"/>
    <n v="1"/>
    <s v="INR"/>
    <n v="732"/>
    <s v="Gurugram"/>
    <x v="1"/>
    <s v="122001"/>
    <s v="India"/>
    <s v="No"/>
  </r>
  <r>
    <n v="6"/>
    <s v="723-2165204-5075291"/>
    <n v="379139"/>
    <x v="1"/>
    <n v="35"/>
    <x v="0"/>
    <x v="0"/>
    <x v="0"/>
    <x v="0"/>
    <x v="2"/>
    <s v="SKU3746"/>
    <x v="1"/>
    <s v="XXL"/>
    <n v="1"/>
    <s v="INR"/>
    <n v="1075"/>
    <s v="Bengaluru"/>
    <x v="2"/>
    <s v="560001"/>
    <s v="India"/>
    <s v="Yes"/>
  </r>
  <r>
    <n v="7"/>
    <s v="803-1911056-5183686"/>
    <n v="868642"/>
    <x v="0"/>
    <n v="30"/>
    <x v="0"/>
    <x v="0"/>
    <x v="0"/>
    <x v="0"/>
    <x v="0"/>
    <s v="SKU9316"/>
    <x v="2"/>
    <s v="S"/>
    <n v="1"/>
    <s v="INR"/>
    <n v="1410"/>
    <s v="Bengaluru"/>
    <x v="2"/>
    <s v="560001"/>
    <s v="India"/>
    <s v="Yes"/>
  </r>
  <r>
    <n v="8"/>
    <s v="895-2616109-9942789"/>
    <n v="259820"/>
    <x v="1"/>
    <n v="51"/>
    <x v="2"/>
    <x v="0"/>
    <x v="0"/>
    <x v="0"/>
    <x v="1"/>
    <s v="SKU5860"/>
    <x v="1"/>
    <s v="XXL"/>
    <n v="1"/>
    <s v="INR"/>
    <n v="1050"/>
    <s v="Mohali"/>
    <x v="0"/>
    <s v="160055"/>
    <s v="India"/>
    <s v="No"/>
  </r>
  <r>
    <n v="9"/>
    <s v="799-4538951-2587616"/>
    <n v="114670"/>
    <x v="0"/>
    <n v="22"/>
    <x v="1"/>
    <x v="0"/>
    <x v="0"/>
    <x v="0"/>
    <x v="0"/>
    <s v="SKU1268"/>
    <x v="0"/>
    <s v="XL"/>
    <n v="1"/>
    <s v="INR"/>
    <n v="1708"/>
    <s v="Kolkata"/>
    <x v="3"/>
    <s v="700001"/>
    <s v="India"/>
    <s v="No"/>
  </r>
  <r>
    <n v="10"/>
    <s v="378-9894500-2313871"/>
    <n v="559839"/>
    <x v="1"/>
    <n v="53"/>
    <x v="2"/>
    <x v="0"/>
    <x v="0"/>
    <x v="0"/>
    <x v="1"/>
    <s v="SKU3571"/>
    <x v="2"/>
    <s v="M"/>
    <n v="1"/>
    <s v="INR"/>
    <n v="1633"/>
    <s v="Bengaluru"/>
    <x v="2"/>
    <s v="560001"/>
    <s v="India"/>
    <s v="No"/>
  </r>
  <r>
    <n v="11"/>
    <s v="478-1632237-9098592"/>
    <n v="630180"/>
    <x v="0"/>
    <n v="26"/>
    <x v="1"/>
    <x v="0"/>
    <x v="0"/>
    <x v="0"/>
    <x v="3"/>
    <s v="SKU2409"/>
    <x v="2"/>
    <s v="M"/>
    <n v="1"/>
    <s v="INR"/>
    <n v="1465"/>
    <s v="Kolkata"/>
    <x v="3"/>
    <s v="700001"/>
    <s v="India"/>
    <s v="No"/>
  </r>
  <r>
    <n v="12"/>
    <s v="147-5830243-9381650"/>
    <n v="685702"/>
    <x v="1"/>
    <n v="22"/>
    <x v="1"/>
    <x v="0"/>
    <x v="0"/>
    <x v="0"/>
    <x v="0"/>
    <s v="SKU2908"/>
    <x v="0"/>
    <s v="XL"/>
    <n v="1"/>
    <s v="INR"/>
    <n v="415"/>
    <s v="Bengaluru"/>
    <x v="2"/>
    <s v="560001"/>
    <s v="India"/>
    <s v="No"/>
  </r>
  <r>
    <n v="13"/>
    <s v="143-4658129-2673565"/>
    <n v="955380"/>
    <x v="0"/>
    <n v="35"/>
    <x v="0"/>
    <x v="0"/>
    <x v="0"/>
    <x v="0"/>
    <x v="0"/>
    <s v="SKU4632"/>
    <x v="0"/>
    <s v="XXL"/>
    <n v="1"/>
    <s v="INR"/>
    <n v="1337"/>
    <s v="Bengaluru"/>
    <x v="2"/>
    <s v="560001"/>
    <s v="India"/>
    <s v="Yes"/>
  </r>
  <r>
    <n v="14"/>
    <s v="537-1352460-1486376"/>
    <n v="484143"/>
    <x v="1"/>
    <n v="48"/>
    <x v="0"/>
    <x v="0"/>
    <x v="0"/>
    <x v="0"/>
    <x v="2"/>
    <s v="SKU4003"/>
    <x v="2"/>
    <s v="L"/>
    <n v="1"/>
    <s v="INR"/>
    <n v="732"/>
    <s v="Gurugram"/>
    <x v="1"/>
    <s v="122001"/>
    <s v="India"/>
    <s v="No"/>
  </r>
  <r>
    <n v="15"/>
    <s v="365-7310840-2344388"/>
    <n v="552511"/>
    <x v="0"/>
    <n v="27"/>
    <x v="1"/>
    <x v="0"/>
    <x v="0"/>
    <x v="0"/>
    <x v="1"/>
    <s v="SKU4800"/>
    <x v="1"/>
    <s v="S"/>
    <n v="1"/>
    <s v="INR"/>
    <n v="757"/>
    <s v="Mohali"/>
    <x v="0"/>
    <s v="160055"/>
    <s v="India"/>
    <s v="Yes"/>
  </r>
  <r>
    <n v="16"/>
    <s v="547-8703233-9623455"/>
    <n v="991322"/>
    <x v="1"/>
    <n v="42"/>
    <x v="0"/>
    <x v="0"/>
    <x v="0"/>
    <x v="0"/>
    <x v="0"/>
    <s v="SKU5206"/>
    <x v="0"/>
    <s v="L"/>
    <n v="1"/>
    <s v="INR"/>
    <n v="1485"/>
    <s v="Mohali"/>
    <x v="0"/>
    <s v="160055"/>
    <s v="India"/>
    <s v="No"/>
  </r>
  <r>
    <n v="17"/>
    <s v="461-2689135-1517167"/>
    <n v="168277"/>
    <x v="0"/>
    <n v="65"/>
    <x v="2"/>
    <x v="0"/>
    <x v="0"/>
    <x v="0"/>
    <x v="2"/>
    <s v="SKU1829"/>
    <x v="0"/>
    <s v="XXL"/>
    <n v="1"/>
    <s v="INR"/>
    <n v="1606"/>
    <s v="Kolkata"/>
    <x v="3"/>
    <s v="700001"/>
    <s v="India"/>
    <s v="Yes"/>
  </r>
  <r>
    <n v="18"/>
    <s v="513-2086112-6708080"/>
    <n v="395860"/>
    <x v="1"/>
    <n v="69"/>
    <x v="2"/>
    <x v="0"/>
    <x v="0"/>
    <x v="0"/>
    <x v="1"/>
    <s v="SKU6963"/>
    <x v="2"/>
    <s v="M"/>
    <n v="1"/>
    <s v="INR"/>
    <n v="923"/>
    <s v="Mohali"/>
    <x v="0"/>
    <s v="160055"/>
    <s v="India"/>
    <s v="Yes"/>
  </r>
  <r>
    <n v="19"/>
    <s v="559-5221718-6134459"/>
    <n v="469472"/>
    <x v="0"/>
    <n v="25"/>
    <x v="1"/>
    <x v="0"/>
    <x v="0"/>
    <x v="0"/>
    <x v="1"/>
    <s v="SKU3085"/>
    <x v="2"/>
    <s v="XXL"/>
    <n v="1"/>
    <s v="INR"/>
    <n v="1575"/>
    <s v="Bengaluru"/>
    <x v="2"/>
    <s v="560001"/>
    <s v="India"/>
    <s v="No"/>
  </r>
  <r>
    <n v="20"/>
    <s v="918-7849792-7296268"/>
    <n v="387691"/>
    <x v="1"/>
    <n v="35"/>
    <x v="0"/>
    <x v="0"/>
    <x v="0"/>
    <x v="0"/>
    <x v="3"/>
    <s v="SKU2207"/>
    <x v="0"/>
    <s v="XXL"/>
    <n v="1"/>
    <s v="INR"/>
    <n v="1726"/>
    <s v="Bengaluru"/>
    <x v="2"/>
    <s v="560001"/>
    <s v="India"/>
    <s v="Yes"/>
  </r>
  <r>
    <n v="21"/>
    <s v="911-3578621-8416746"/>
    <n v="581168"/>
    <x v="0"/>
    <n v="47"/>
    <x v="0"/>
    <x v="0"/>
    <x v="0"/>
    <x v="0"/>
    <x v="3"/>
    <s v="SKU4259"/>
    <x v="2"/>
    <s v="XXL"/>
    <n v="1"/>
    <s v="INR"/>
    <n v="1187"/>
    <s v="Mohali"/>
    <x v="0"/>
    <s v="160055"/>
    <s v="India"/>
    <s v="No"/>
  </r>
  <r>
    <n v="22"/>
    <s v="578-5671662-5845186"/>
    <n v="336122"/>
    <x v="1"/>
    <n v="54"/>
    <x v="2"/>
    <x v="0"/>
    <x v="0"/>
    <x v="0"/>
    <x v="2"/>
    <s v="SKU5472"/>
    <x v="0"/>
    <s v="S"/>
    <n v="1"/>
    <s v="INR"/>
    <n v="702"/>
    <s v="Bengaluru"/>
    <x v="2"/>
    <s v="560001"/>
    <s v="India"/>
    <s v="No"/>
  </r>
  <r>
    <n v="23"/>
    <s v="231-9467686-3655286"/>
    <n v="727627"/>
    <x v="0"/>
    <n v="33"/>
    <x v="0"/>
    <x v="0"/>
    <x v="0"/>
    <x v="0"/>
    <x v="2"/>
    <s v="SKU3533"/>
    <x v="0"/>
    <s v="L"/>
    <n v="1"/>
    <s v="INR"/>
    <n v="420"/>
    <s v="Gurugram"/>
    <x v="1"/>
    <s v="122001"/>
    <s v="India"/>
    <s v="Yes"/>
  </r>
  <r>
    <n v="24"/>
    <s v="650-5000768-3144682"/>
    <n v="962247"/>
    <x v="1"/>
    <n v="67"/>
    <x v="2"/>
    <x v="0"/>
    <x v="0"/>
    <x v="0"/>
    <x v="0"/>
    <s v="SKU6612"/>
    <x v="2"/>
    <s v="XL"/>
    <n v="1"/>
    <s v="INR"/>
    <n v="1103"/>
    <s v="Gurugram"/>
    <x v="1"/>
    <s v="122001"/>
    <s v="India"/>
    <s v="No"/>
  </r>
  <r>
    <n v="25"/>
    <s v="559-8542214-4213623"/>
    <n v="920545"/>
    <x v="0"/>
    <n v="42"/>
    <x v="0"/>
    <x v="0"/>
    <x v="0"/>
    <x v="0"/>
    <x v="3"/>
    <s v="SKU2670"/>
    <x v="0"/>
    <s v="S"/>
    <n v="1"/>
    <s v="INR"/>
    <n v="1730"/>
    <s v="Bengaluru"/>
    <x v="2"/>
    <s v="560001"/>
    <s v="India"/>
    <s v="No"/>
  </r>
  <r>
    <n v="26"/>
    <s v="379-3598136-8312856"/>
    <n v="458889"/>
    <x v="1"/>
    <n v="53"/>
    <x v="2"/>
    <x v="0"/>
    <x v="0"/>
    <x v="0"/>
    <x v="1"/>
    <s v="SKU3621"/>
    <x v="1"/>
    <s v="S"/>
    <n v="1"/>
    <s v="INR"/>
    <n v="519"/>
    <s v="Gurugram"/>
    <x v="1"/>
    <s v="122001"/>
    <s v="India"/>
    <s v="No"/>
  </r>
  <r>
    <n v="27"/>
    <s v="209-2159966-3397216"/>
    <n v="483103"/>
    <x v="0"/>
    <n v="45"/>
    <x v="0"/>
    <x v="0"/>
    <x v="0"/>
    <x v="0"/>
    <x v="1"/>
    <s v="SKU7888"/>
    <x v="2"/>
    <s v="XXL"/>
    <n v="1"/>
    <s v="INR"/>
    <n v="748"/>
    <s v="Bengaluru"/>
    <x v="2"/>
    <s v="560001"/>
    <s v="India"/>
    <s v="No"/>
  </r>
  <r>
    <n v="28"/>
    <s v="722-4647456-6544559"/>
    <n v="663859"/>
    <x v="1"/>
    <n v="54"/>
    <x v="2"/>
    <x v="0"/>
    <x v="0"/>
    <x v="0"/>
    <x v="2"/>
    <s v="SKU1460"/>
    <x v="2"/>
    <s v="L"/>
    <n v="1"/>
    <s v="INR"/>
    <n v="856"/>
    <s v="Gurugram"/>
    <x v="1"/>
    <s v="122001"/>
    <s v="India"/>
    <s v="No"/>
  </r>
  <r>
    <n v="29"/>
    <s v="135-1403304-6252446"/>
    <n v="136608"/>
    <x v="0"/>
    <n v="35"/>
    <x v="0"/>
    <x v="0"/>
    <x v="0"/>
    <x v="0"/>
    <x v="1"/>
    <s v="SKU9464"/>
    <x v="2"/>
    <s v="L"/>
    <n v="1"/>
    <s v="INR"/>
    <n v="1840"/>
    <s v="Mohali"/>
    <x v="0"/>
    <s v="160055"/>
    <s v="India"/>
    <s v="Yes"/>
  </r>
  <r>
    <n v="30"/>
    <s v="567-2081481-8807945"/>
    <n v="347518"/>
    <x v="1"/>
    <n v="39"/>
    <x v="0"/>
    <x v="0"/>
    <x v="0"/>
    <x v="0"/>
    <x v="1"/>
    <s v="SKU3817"/>
    <x v="1"/>
    <s v="S"/>
    <n v="1"/>
    <s v="INR"/>
    <n v="1161"/>
    <s v="Kolkata"/>
    <x v="3"/>
    <s v="700001"/>
    <s v="India"/>
    <s v="Yes"/>
  </r>
  <r>
    <n v="31"/>
    <s v="916-6649860-6500393"/>
    <n v="759316"/>
    <x v="0"/>
    <n v="60"/>
    <x v="2"/>
    <x v="0"/>
    <x v="0"/>
    <x v="0"/>
    <x v="2"/>
    <s v="SKU1262"/>
    <x v="0"/>
    <s v="XXL"/>
    <n v="1"/>
    <s v="INR"/>
    <n v="680"/>
    <s v="Gurugram"/>
    <x v="1"/>
    <s v="122001"/>
    <s v="India"/>
    <s v="Yes"/>
  </r>
  <r>
    <n v="32"/>
    <s v="539-6662281-5318386"/>
    <n v="148034"/>
    <x v="1"/>
    <n v="54"/>
    <x v="2"/>
    <x v="0"/>
    <x v="0"/>
    <x v="0"/>
    <x v="3"/>
    <s v="SKU7764"/>
    <x v="1"/>
    <s v="XL"/>
    <n v="1"/>
    <s v="INR"/>
    <n v="1194"/>
    <s v="Mohali"/>
    <x v="0"/>
    <s v="160055"/>
    <s v="India"/>
    <s v="Yes"/>
  </r>
  <r>
    <n v="33"/>
    <s v="238-1352744-1970790"/>
    <n v="976470"/>
    <x v="0"/>
    <n v="23"/>
    <x v="1"/>
    <x v="0"/>
    <x v="0"/>
    <x v="0"/>
    <x v="0"/>
    <s v="SKU5708"/>
    <x v="2"/>
    <s v="L"/>
    <n v="1"/>
    <s v="INR"/>
    <n v="1973"/>
    <s v="Mohali"/>
    <x v="0"/>
    <s v="160055"/>
    <s v="India"/>
    <s v="Yes"/>
  </r>
  <r>
    <n v="34"/>
    <s v="780-2716614-9763210"/>
    <n v="599205"/>
    <x v="1"/>
    <n v="32"/>
    <x v="0"/>
    <x v="0"/>
    <x v="0"/>
    <x v="0"/>
    <x v="2"/>
    <s v="SKU9162"/>
    <x v="0"/>
    <s v="M"/>
    <n v="1"/>
    <s v="INR"/>
    <n v="1909"/>
    <s v="Bengaluru"/>
    <x v="2"/>
    <s v="560001"/>
    <s v="India"/>
    <s v="Yes"/>
  </r>
  <r>
    <n v="35"/>
    <s v="827-5570023-1671783"/>
    <n v="810465"/>
    <x v="0"/>
    <n v="48"/>
    <x v="0"/>
    <x v="0"/>
    <x v="0"/>
    <x v="0"/>
    <x v="3"/>
    <s v="SKU6466"/>
    <x v="0"/>
    <s v="L"/>
    <n v="1"/>
    <s v="INR"/>
    <n v="1999"/>
    <s v="Bengaluru"/>
    <x v="2"/>
    <s v="560001"/>
    <s v="India"/>
    <s v="Yes"/>
  </r>
  <r>
    <n v="36"/>
    <s v="695-3082017-7750134"/>
    <n v="796533"/>
    <x v="1"/>
    <n v="66"/>
    <x v="2"/>
    <x v="0"/>
    <x v="0"/>
    <x v="0"/>
    <x v="1"/>
    <s v="SKU2429"/>
    <x v="0"/>
    <s v="L"/>
    <n v="1"/>
    <s v="INR"/>
    <n v="1809"/>
    <s v="Kolkata"/>
    <x v="3"/>
    <s v="700001"/>
    <s v="India"/>
    <s v="Yes"/>
  </r>
  <r>
    <n v="37"/>
    <s v="859-3189986-3578853"/>
    <n v="525115"/>
    <x v="0"/>
    <n v="41"/>
    <x v="0"/>
    <x v="0"/>
    <x v="0"/>
    <x v="0"/>
    <x v="3"/>
    <s v="SKU2650"/>
    <x v="1"/>
    <s v="S"/>
    <n v="1"/>
    <s v="INR"/>
    <n v="1770"/>
    <s v="Mohali"/>
    <x v="0"/>
    <s v="160055"/>
    <s v="India"/>
    <s v="Yes"/>
  </r>
  <r>
    <n v="38"/>
    <s v="489-9660807-9287540"/>
    <n v="518147"/>
    <x v="1"/>
    <n v="68"/>
    <x v="2"/>
    <x v="0"/>
    <x v="0"/>
    <x v="0"/>
    <x v="0"/>
    <s v="SKU1464"/>
    <x v="1"/>
    <s v="M"/>
    <n v="1"/>
    <s v="INR"/>
    <n v="1044"/>
    <s v="Mohali"/>
    <x v="0"/>
    <s v="160055"/>
    <s v="India"/>
    <s v="Yes"/>
  </r>
  <r>
    <n v="39"/>
    <s v="424-9829561-4006389"/>
    <n v="907434"/>
    <x v="0"/>
    <n v="51"/>
    <x v="2"/>
    <x v="0"/>
    <x v="0"/>
    <x v="0"/>
    <x v="2"/>
    <s v="SKU1654"/>
    <x v="1"/>
    <s v="XXL"/>
    <n v="1"/>
    <s v="INR"/>
    <n v="1275"/>
    <s v="Bengaluru"/>
    <x v="2"/>
    <s v="560001"/>
    <s v="India"/>
    <s v="Yes"/>
  </r>
  <r>
    <n v="40"/>
    <s v="914-3036886-3953316"/>
    <n v="526877"/>
    <x v="1"/>
    <n v="44"/>
    <x v="0"/>
    <x v="0"/>
    <x v="0"/>
    <x v="0"/>
    <x v="3"/>
    <s v="SKU4649"/>
    <x v="0"/>
    <s v="M"/>
    <n v="1"/>
    <s v="INR"/>
    <n v="1674"/>
    <s v="Gurugram"/>
    <x v="1"/>
    <s v="122001"/>
    <s v="India"/>
    <s v="No"/>
  </r>
  <r>
    <n v="41"/>
    <s v="910-1105438-1788261"/>
    <n v="970066"/>
    <x v="0"/>
    <n v="22"/>
    <x v="1"/>
    <x v="0"/>
    <x v="0"/>
    <x v="0"/>
    <x v="2"/>
    <s v="SKU8726"/>
    <x v="1"/>
    <s v="XL"/>
    <n v="1"/>
    <s v="INR"/>
    <n v="1776"/>
    <s v="Bengaluru"/>
    <x v="2"/>
    <s v="560001"/>
    <s v="India"/>
    <s v="No"/>
  </r>
  <r>
    <n v="42"/>
    <s v="924-7380188-5959994"/>
    <n v="404591"/>
    <x v="1"/>
    <n v="70"/>
    <x v="2"/>
    <x v="0"/>
    <x v="0"/>
    <x v="0"/>
    <x v="3"/>
    <s v="SKU2902"/>
    <x v="2"/>
    <s v="S"/>
    <n v="1"/>
    <s v="INR"/>
    <n v="1295"/>
    <s v="Bengaluru"/>
    <x v="2"/>
    <s v="560001"/>
    <s v="India"/>
    <s v="No"/>
  </r>
  <r>
    <n v="43"/>
    <s v="680-9853669-7173398"/>
    <n v="491314"/>
    <x v="0"/>
    <n v="41"/>
    <x v="0"/>
    <x v="0"/>
    <x v="0"/>
    <x v="0"/>
    <x v="0"/>
    <s v="SKU1747"/>
    <x v="1"/>
    <s v="XL"/>
    <n v="1"/>
    <s v="INR"/>
    <n v="663"/>
    <s v="Mohali"/>
    <x v="0"/>
    <s v="160055"/>
    <s v="India"/>
    <s v="No"/>
  </r>
  <r>
    <n v="44"/>
    <s v="282-6695092-8730564"/>
    <n v="676120"/>
    <x v="1"/>
    <n v="20"/>
    <x v="1"/>
    <x v="0"/>
    <x v="0"/>
    <x v="0"/>
    <x v="2"/>
    <s v="SKU7932"/>
    <x v="0"/>
    <s v="L"/>
    <n v="1"/>
    <s v="INR"/>
    <n v="1639"/>
    <s v="Kolkata"/>
    <x v="3"/>
    <s v="700001"/>
    <s v="India"/>
    <s v="No"/>
  </r>
  <r>
    <n v="45"/>
    <s v="976-7312689-5519788"/>
    <n v="967858"/>
    <x v="0"/>
    <n v="30"/>
    <x v="0"/>
    <x v="0"/>
    <x v="0"/>
    <x v="0"/>
    <x v="0"/>
    <s v="SKU1049"/>
    <x v="0"/>
    <s v="XL"/>
    <n v="1"/>
    <s v="INR"/>
    <n v="1036"/>
    <s v="Bengaluru"/>
    <x v="2"/>
    <s v="560001"/>
    <s v="India"/>
    <s v="Yes"/>
  </r>
  <r>
    <n v="46"/>
    <s v="762-5934208-5874198"/>
    <n v="367168"/>
    <x v="1"/>
    <n v="56"/>
    <x v="2"/>
    <x v="0"/>
    <x v="0"/>
    <x v="0"/>
    <x v="0"/>
    <s v="SKU9494"/>
    <x v="2"/>
    <s v="S"/>
    <n v="1"/>
    <s v="INR"/>
    <n v="814"/>
    <s v="Bengaluru"/>
    <x v="2"/>
    <s v="560001"/>
    <s v="India"/>
    <s v="Yes"/>
  </r>
  <r>
    <n v="47"/>
    <s v="192-9574163-2887171"/>
    <n v="584711"/>
    <x v="0"/>
    <n v="52"/>
    <x v="2"/>
    <x v="0"/>
    <x v="0"/>
    <x v="0"/>
    <x v="0"/>
    <s v="SKU8873"/>
    <x v="0"/>
    <s v="XXL"/>
    <n v="1"/>
    <s v="INR"/>
    <n v="1579"/>
    <s v="Kolkata"/>
    <x v="3"/>
    <s v="700001"/>
    <s v="India"/>
    <s v="No"/>
  </r>
  <r>
    <n v="48"/>
    <s v="764-8715776-5139124"/>
    <n v="171113"/>
    <x v="1"/>
    <n v="18"/>
    <x v="1"/>
    <x v="0"/>
    <x v="0"/>
    <x v="0"/>
    <x v="3"/>
    <s v="SKU3474"/>
    <x v="0"/>
    <s v="XL"/>
    <n v="1"/>
    <s v="INR"/>
    <n v="1168"/>
    <s v="Kolkata"/>
    <x v="3"/>
    <s v="700001"/>
    <s v="India"/>
    <s v="Yes"/>
  </r>
  <r>
    <n v="49"/>
    <s v="683-2306162-2328128"/>
    <n v="528616"/>
    <x v="0"/>
    <n v="33"/>
    <x v="0"/>
    <x v="0"/>
    <x v="0"/>
    <x v="0"/>
    <x v="3"/>
    <s v="SKU4300"/>
    <x v="2"/>
    <s v="S"/>
    <n v="1"/>
    <s v="INR"/>
    <n v="1040"/>
    <s v="Kolkata"/>
    <x v="3"/>
    <s v="700001"/>
    <s v="India"/>
    <s v="Yes"/>
  </r>
  <r>
    <n v="50"/>
    <s v="143-2210110-9122127"/>
    <n v="700730"/>
    <x v="1"/>
    <n v="62"/>
    <x v="2"/>
    <x v="0"/>
    <x v="0"/>
    <x v="0"/>
    <x v="1"/>
    <s v="SKU3763"/>
    <x v="0"/>
    <s v="XXL"/>
    <n v="1"/>
    <s v="INR"/>
    <n v="1738"/>
    <s v="Bengaluru"/>
    <x v="2"/>
    <s v="560001"/>
    <s v="India"/>
    <s v="Yes"/>
  </r>
  <r>
    <n v="51"/>
    <s v="927-8402375-8206785"/>
    <n v="587642"/>
    <x v="0"/>
    <n v="54"/>
    <x v="2"/>
    <x v="0"/>
    <x v="0"/>
    <x v="0"/>
    <x v="2"/>
    <s v="SKU5159"/>
    <x v="1"/>
    <s v="S"/>
    <n v="1"/>
    <s v="INR"/>
    <n v="1268"/>
    <s v="Gurugram"/>
    <x v="1"/>
    <s v="122001"/>
    <s v="India"/>
    <s v="No"/>
  </r>
  <r>
    <n v="52"/>
    <s v="459-3459157-8098716"/>
    <n v="786073"/>
    <x v="1"/>
    <n v="23"/>
    <x v="1"/>
    <x v="0"/>
    <x v="0"/>
    <x v="0"/>
    <x v="2"/>
    <s v="SKU6798"/>
    <x v="2"/>
    <s v="XXL"/>
    <n v="1"/>
    <s v="INR"/>
    <n v="802"/>
    <s v="Gurugram"/>
    <x v="1"/>
    <s v="122001"/>
    <s v="India"/>
    <s v="Yes"/>
  </r>
  <r>
    <n v="53"/>
    <s v="685-4727899-7710040"/>
    <n v="533618"/>
    <x v="0"/>
    <n v="67"/>
    <x v="2"/>
    <x v="0"/>
    <x v="0"/>
    <x v="0"/>
    <x v="3"/>
    <s v="SKU7600"/>
    <x v="1"/>
    <s v="L"/>
    <n v="1"/>
    <s v="INR"/>
    <n v="1667"/>
    <s v="Mohali"/>
    <x v="0"/>
    <s v="160055"/>
    <s v="India"/>
    <s v="Yes"/>
  </r>
  <r>
    <n v="54"/>
    <s v="290-1853288-3900073"/>
    <n v="235486"/>
    <x v="1"/>
    <n v="49"/>
    <x v="0"/>
    <x v="0"/>
    <x v="0"/>
    <x v="0"/>
    <x v="3"/>
    <s v="SKU7560"/>
    <x v="2"/>
    <s v="L"/>
    <n v="1"/>
    <s v="INR"/>
    <n v="761"/>
    <s v="Bengaluru"/>
    <x v="2"/>
    <s v="560001"/>
    <s v="India"/>
    <s v="No"/>
  </r>
  <r>
    <n v="55"/>
    <s v="561-3337995-4205276"/>
    <n v="140780"/>
    <x v="0"/>
    <n v="18"/>
    <x v="1"/>
    <x v="0"/>
    <x v="0"/>
    <x v="0"/>
    <x v="0"/>
    <s v="SKU6844"/>
    <x v="2"/>
    <s v="XL"/>
    <n v="1"/>
    <s v="INR"/>
    <n v="1345"/>
    <s v="Gurugram"/>
    <x v="1"/>
    <s v="122001"/>
    <s v="India"/>
    <s v="Yes"/>
  </r>
  <r>
    <n v="56"/>
    <s v="236-4720225-7437883"/>
    <n v="667077"/>
    <x v="1"/>
    <n v="65"/>
    <x v="2"/>
    <x v="0"/>
    <x v="0"/>
    <x v="0"/>
    <x v="2"/>
    <s v="SKU9322"/>
    <x v="2"/>
    <s v="L"/>
    <n v="1"/>
    <s v="INR"/>
    <n v="1937"/>
    <s v="Bengaluru"/>
    <x v="2"/>
    <s v="560001"/>
    <s v="India"/>
    <s v="Yes"/>
  </r>
  <r>
    <n v="57"/>
    <s v="375-7181893-4695858"/>
    <n v="129090"/>
    <x v="0"/>
    <n v="68"/>
    <x v="2"/>
    <x v="0"/>
    <x v="0"/>
    <x v="0"/>
    <x v="3"/>
    <s v="SKU6231"/>
    <x v="1"/>
    <s v="S"/>
    <n v="1"/>
    <s v="INR"/>
    <n v="1593"/>
    <s v="Gurugram"/>
    <x v="1"/>
    <s v="122001"/>
    <s v="India"/>
    <s v="Yes"/>
  </r>
  <r>
    <n v="58"/>
    <s v="932-3853375-3276006"/>
    <n v="683074"/>
    <x v="1"/>
    <n v="42"/>
    <x v="0"/>
    <x v="0"/>
    <x v="0"/>
    <x v="0"/>
    <x v="2"/>
    <s v="SKU3624"/>
    <x v="1"/>
    <s v="M"/>
    <n v="1"/>
    <s v="INR"/>
    <n v="1969"/>
    <s v="Gurugram"/>
    <x v="1"/>
    <s v="122001"/>
    <s v="India"/>
    <s v="No"/>
  </r>
  <r>
    <n v="59"/>
    <s v="477-6141496-9554444"/>
    <n v="702870"/>
    <x v="0"/>
    <n v="20"/>
    <x v="1"/>
    <x v="0"/>
    <x v="0"/>
    <x v="0"/>
    <x v="1"/>
    <s v="SKU6411"/>
    <x v="2"/>
    <s v="M"/>
    <n v="1"/>
    <s v="INR"/>
    <n v="824"/>
    <s v="Gurugram"/>
    <x v="1"/>
    <s v="122001"/>
    <s v="India"/>
    <s v="Yes"/>
  </r>
  <r>
    <n v="60"/>
    <s v="690-2968899-6325264"/>
    <n v="897571"/>
    <x v="1"/>
    <n v="43"/>
    <x v="0"/>
    <x v="0"/>
    <x v="0"/>
    <x v="0"/>
    <x v="0"/>
    <s v="SKU9889"/>
    <x v="1"/>
    <s v="XL"/>
    <n v="1"/>
    <s v="INR"/>
    <n v="1517"/>
    <s v="Kolkata"/>
    <x v="3"/>
    <s v="700001"/>
    <s v="India"/>
    <s v="Yes"/>
  </r>
  <r>
    <n v="61"/>
    <s v="412-7038305-3300121"/>
    <n v="586864"/>
    <x v="0"/>
    <n v="55"/>
    <x v="2"/>
    <x v="0"/>
    <x v="0"/>
    <x v="0"/>
    <x v="3"/>
    <s v="SKU6323"/>
    <x v="1"/>
    <s v="S"/>
    <n v="1"/>
    <s v="INR"/>
    <n v="1483"/>
    <s v="Mohali"/>
    <x v="0"/>
    <s v="160055"/>
    <s v="India"/>
    <s v="No"/>
  </r>
  <r>
    <n v="62"/>
    <s v="633-5929118-3401535"/>
    <n v="956393"/>
    <x v="1"/>
    <n v="32"/>
    <x v="0"/>
    <x v="0"/>
    <x v="0"/>
    <x v="0"/>
    <x v="1"/>
    <s v="SKU3017"/>
    <x v="1"/>
    <s v="S"/>
    <n v="1"/>
    <s v="INR"/>
    <n v="722"/>
    <s v="Kolkata"/>
    <x v="3"/>
    <s v="700001"/>
    <s v="India"/>
    <s v="No"/>
  </r>
  <r>
    <n v="63"/>
    <s v="878-3947638-4188213"/>
    <n v="961313"/>
    <x v="0"/>
    <n v="23"/>
    <x v="1"/>
    <x v="0"/>
    <x v="0"/>
    <x v="0"/>
    <x v="0"/>
    <s v="SKU7017"/>
    <x v="2"/>
    <s v="M"/>
    <n v="1"/>
    <s v="INR"/>
    <n v="1583"/>
    <s v="Bengaluru"/>
    <x v="2"/>
    <s v="560001"/>
    <s v="India"/>
    <s v="Yes"/>
  </r>
  <r>
    <n v="64"/>
    <s v="860-7151903-4515841"/>
    <n v="520613"/>
    <x v="1"/>
    <n v="40"/>
    <x v="0"/>
    <x v="0"/>
    <x v="0"/>
    <x v="0"/>
    <x v="3"/>
    <s v="SKU5883"/>
    <x v="1"/>
    <s v="S"/>
    <n v="1"/>
    <s v="INR"/>
    <n v="632"/>
    <s v="Kolkata"/>
    <x v="3"/>
    <s v="700001"/>
    <s v="India"/>
    <s v="Yes"/>
  </r>
  <r>
    <n v="65"/>
    <s v="694-7208622-7510911"/>
    <n v="547057"/>
    <x v="0"/>
    <n v="18"/>
    <x v="1"/>
    <x v="0"/>
    <x v="0"/>
    <x v="0"/>
    <x v="2"/>
    <s v="SKU3367"/>
    <x v="0"/>
    <s v="L"/>
    <n v="1"/>
    <s v="INR"/>
    <n v="621"/>
    <s v="Mohali"/>
    <x v="0"/>
    <s v="160055"/>
    <s v="India"/>
    <s v="No"/>
  </r>
  <r>
    <n v="66"/>
    <s v="474-7449354-9534421"/>
    <n v="933042"/>
    <x v="1"/>
    <n v="36"/>
    <x v="0"/>
    <x v="0"/>
    <x v="0"/>
    <x v="0"/>
    <x v="2"/>
    <s v="SKU5934"/>
    <x v="0"/>
    <s v="S"/>
    <n v="1"/>
    <s v="INR"/>
    <n v="838"/>
    <s v="Kolkata"/>
    <x v="3"/>
    <s v="700001"/>
    <s v="India"/>
    <s v="Yes"/>
  </r>
  <r>
    <n v="67"/>
    <s v="424-8661058-7510181"/>
    <n v="304520"/>
    <x v="0"/>
    <n v="21"/>
    <x v="1"/>
    <x v="0"/>
    <x v="0"/>
    <x v="0"/>
    <x v="0"/>
    <s v="SKU1467"/>
    <x v="0"/>
    <s v="XXL"/>
    <n v="1"/>
    <s v="INR"/>
    <n v="1336"/>
    <s v="Gurugram"/>
    <x v="1"/>
    <s v="122001"/>
    <s v="India"/>
    <s v="No"/>
  </r>
  <r>
    <n v="68"/>
    <s v="891-5008926-7784970"/>
    <n v="550860"/>
    <x v="1"/>
    <n v="62"/>
    <x v="2"/>
    <x v="0"/>
    <x v="0"/>
    <x v="0"/>
    <x v="0"/>
    <s v="SKU7333"/>
    <x v="0"/>
    <s v="S"/>
    <n v="1"/>
    <s v="INR"/>
    <n v="1173"/>
    <s v="Bengaluru"/>
    <x v="2"/>
    <s v="560001"/>
    <s v="India"/>
    <s v="Yes"/>
  </r>
  <r>
    <n v="69"/>
    <s v="804-1696317-7114859"/>
    <n v="541982"/>
    <x v="0"/>
    <n v="59"/>
    <x v="2"/>
    <x v="0"/>
    <x v="0"/>
    <x v="0"/>
    <x v="1"/>
    <s v="SKU5998"/>
    <x v="0"/>
    <s v="XL"/>
    <n v="1"/>
    <s v="INR"/>
    <n v="1459"/>
    <s v="Bengaluru"/>
    <x v="2"/>
    <s v="560001"/>
    <s v="India"/>
    <s v="No"/>
  </r>
  <r>
    <n v="70"/>
    <s v="306-4973124-3309084"/>
    <n v="564750"/>
    <x v="1"/>
    <n v="28"/>
    <x v="1"/>
    <x v="0"/>
    <x v="0"/>
    <x v="0"/>
    <x v="2"/>
    <s v="SKU6468"/>
    <x v="2"/>
    <s v="S"/>
    <n v="1"/>
    <s v="INR"/>
    <n v="1798"/>
    <s v="Gurugram"/>
    <x v="1"/>
    <s v="122001"/>
    <s v="India"/>
    <s v="No"/>
  </r>
  <r>
    <n v="71"/>
    <s v="725-9855488-2756089"/>
    <n v="495357"/>
    <x v="0"/>
    <n v="27"/>
    <x v="1"/>
    <x v="0"/>
    <x v="0"/>
    <x v="0"/>
    <x v="2"/>
    <s v="SKU2816"/>
    <x v="0"/>
    <s v="S"/>
    <n v="1"/>
    <s v="INR"/>
    <n v="768"/>
    <s v="Mohali"/>
    <x v="0"/>
    <s v="160055"/>
    <s v="India"/>
    <s v="Yes"/>
  </r>
  <r>
    <n v="72"/>
    <s v="896-7283426-5318560"/>
    <n v="842570"/>
    <x v="1"/>
    <n v="33"/>
    <x v="0"/>
    <x v="0"/>
    <x v="0"/>
    <x v="0"/>
    <x v="1"/>
    <s v="SKU5603"/>
    <x v="0"/>
    <s v="L"/>
    <n v="1"/>
    <s v="INR"/>
    <n v="1114"/>
    <s v="Gurugram"/>
    <x v="1"/>
    <s v="122001"/>
    <s v="India"/>
    <s v="No"/>
  </r>
  <r>
    <n v="73"/>
    <s v="332-4637125-8402542"/>
    <n v="362231"/>
    <x v="0"/>
    <n v="55"/>
    <x v="2"/>
    <x v="0"/>
    <x v="0"/>
    <x v="0"/>
    <x v="3"/>
    <s v="SKU9988"/>
    <x v="0"/>
    <s v="XL"/>
    <n v="1"/>
    <s v="INR"/>
    <n v="622"/>
    <s v="Kolkata"/>
    <x v="3"/>
    <s v="700001"/>
    <s v="India"/>
    <s v="Yes"/>
  </r>
  <r>
    <n v="74"/>
    <s v="378-3625525-8167860"/>
    <n v="187329"/>
    <x v="1"/>
    <n v="22"/>
    <x v="1"/>
    <x v="0"/>
    <x v="0"/>
    <x v="0"/>
    <x v="2"/>
    <s v="SKU1102"/>
    <x v="0"/>
    <s v="S"/>
    <n v="1"/>
    <s v="INR"/>
    <n v="1444"/>
    <s v="Bengaluru"/>
    <x v="2"/>
    <s v="560001"/>
    <s v="India"/>
    <s v="Yes"/>
  </r>
  <r>
    <n v="75"/>
    <s v="308-1625496-6189555"/>
    <n v="915756"/>
    <x v="0"/>
    <n v="26"/>
    <x v="1"/>
    <x v="0"/>
    <x v="0"/>
    <x v="0"/>
    <x v="1"/>
    <s v="SKU9250"/>
    <x v="1"/>
    <s v="M"/>
    <n v="1"/>
    <s v="INR"/>
    <n v="1814"/>
    <s v="Bengaluru"/>
    <x v="2"/>
    <s v="560001"/>
    <s v="India"/>
    <s v="Yes"/>
  </r>
  <r>
    <n v="76"/>
    <s v="995-1567379-3057797"/>
    <n v="335097"/>
    <x v="1"/>
    <n v="52"/>
    <x v="2"/>
    <x v="0"/>
    <x v="0"/>
    <x v="0"/>
    <x v="0"/>
    <s v="SKU1696"/>
    <x v="1"/>
    <s v="S"/>
    <n v="1"/>
    <s v="INR"/>
    <n v="1231"/>
    <s v="Bengaluru"/>
    <x v="2"/>
    <s v="560001"/>
    <s v="India"/>
    <s v="Yes"/>
  </r>
  <r>
    <n v="77"/>
    <s v="413-7412524-3010507"/>
    <n v="999709"/>
    <x v="0"/>
    <n v="24"/>
    <x v="1"/>
    <x v="0"/>
    <x v="0"/>
    <x v="0"/>
    <x v="3"/>
    <s v="SKU2685"/>
    <x v="1"/>
    <s v="XL"/>
    <n v="1"/>
    <s v="INR"/>
    <n v="644"/>
    <s v="Kolkata"/>
    <x v="3"/>
    <s v="700001"/>
    <s v="India"/>
    <s v="Yes"/>
  </r>
  <r>
    <n v="78"/>
    <s v="133-3517114-8660789"/>
    <n v="342896"/>
    <x v="1"/>
    <n v="33"/>
    <x v="0"/>
    <x v="0"/>
    <x v="0"/>
    <x v="0"/>
    <x v="2"/>
    <s v="SKU4161"/>
    <x v="1"/>
    <s v="S"/>
    <n v="1"/>
    <s v="INR"/>
    <n v="510"/>
    <s v="Bengaluru"/>
    <x v="2"/>
    <s v="560001"/>
    <s v="India"/>
    <s v="Yes"/>
  </r>
  <r>
    <n v="79"/>
    <s v="496-5553567-5702438"/>
    <n v="742389"/>
    <x v="0"/>
    <n v="41"/>
    <x v="0"/>
    <x v="0"/>
    <x v="0"/>
    <x v="0"/>
    <x v="1"/>
    <s v="SKU2343"/>
    <x v="1"/>
    <s v="M"/>
    <n v="1"/>
    <s v="INR"/>
    <n v="1041"/>
    <s v="Gurugram"/>
    <x v="1"/>
    <s v="122001"/>
    <s v="India"/>
    <s v="No"/>
  </r>
  <r>
    <n v="80"/>
    <s v="518-3425307-4282361"/>
    <n v="459259"/>
    <x v="1"/>
    <n v="62"/>
    <x v="2"/>
    <x v="0"/>
    <x v="0"/>
    <x v="0"/>
    <x v="1"/>
    <s v="SKU5324"/>
    <x v="1"/>
    <s v="M"/>
    <n v="1"/>
    <s v="INR"/>
    <n v="1379"/>
    <s v="Gurugram"/>
    <x v="1"/>
    <s v="122001"/>
    <s v="India"/>
    <s v="No"/>
  </r>
  <r>
    <n v="81"/>
    <s v="159-8991184-7534461"/>
    <n v="865387"/>
    <x v="0"/>
    <n v="63"/>
    <x v="2"/>
    <x v="0"/>
    <x v="0"/>
    <x v="0"/>
    <x v="1"/>
    <s v="SKU9811"/>
    <x v="2"/>
    <s v="XL"/>
    <n v="1"/>
    <s v="INR"/>
    <n v="1447"/>
    <s v="Bengaluru"/>
    <x v="2"/>
    <s v="560001"/>
    <s v="India"/>
    <s v="Yes"/>
  </r>
  <r>
    <n v="82"/>
    <s v="177-1719537-5925810"/>
    <n v="289830"/>
    <x v="1"/>
    <n v="52"/>
    <x v="2"/>
    <x v="0"/>
    <x v="0"/>
    <x v="0"/>
    <x v="3"/>
    <s v="SKU1492"/>
    <x v="1"/>
    <s v="L"/>
    <n v="1"/>
    <s v="INR"/>
    <n v="1590"/>
    <s v="Gurugram"/>
    <x v="1"/>
    <s v="122001"/>
    <s v="India"/>
    <s v="No"/>
  </r>
  <r>
    <n v="83"/>
    <s v="535-8099082-2520778"/>
    <n v="343700"/>
    <x v="0"/>
    <n v="35"/>
    <x v="0"/>
    <x v="0"/>
    <x v="0"/>
    <x v="0"/>
    <x v="1"/>
    <s v="SKU8029"/>
    <x v="1"/>
    <s v="M"/>
    <n v="1"/>
    <s v="INR"/>
    <n v="1926"/>
    <s v="Mohali"/>
    <x v="0"/>
    <s v="160055"/>
    <s v="India"/>
    <s v="No"/>
  </r>
  <r>
    <n v="84"/>
    <s v="886-1680891-4080253"/>
    <n v="711842"/>
    <x v="1"/>
    <n v="53"/>
    <x v="2"/>
    <x v="0"/>
    <x v="0"/>
    <x v="0"/>
    <x v="1"/>
    <s v="SKU8191"/>
    <x v="2"/>
    <s v="M"/>
    <n v="1"/>
    <s v="INR"/>
    <n v="1614"/>
    <s v="Kolkata"/>
    <x v="3"/>
    <s v="700001"/>
    <s v="India"/>
    <s v="No"/>
  </r>
  <r>
    <n v="85"/>
    <s v="349-1182546-1873290"/>
    <n v="953105"/>
    <x v="0"/>
    <n v="24"/>
    <x v="1"/>
    <x v="0"/>
    <x v="0"/>
    <x v="0"/>
    <x v="3"/>
    <s v="SKU2234"/>
    <x v="2"/>
    <s v="L"/>
    <n v="1"/>
    <s v="INR"/>
    <n v="519"/>
    <s v="Bengaluru"/>
    <x v="2"/>
    <s v="560001"/>
    <s v="India"/>
    <s v="Yes"/>
  </r>
  <r>
    <n v="86"/>
    <s v="454-9936783-9686636"/>
    <n v="908178"/>
    <x v="1"/>
    <n v="47"/>
    <x v="0"/>
    <x v="0"/>
    <x v="0"/>
    <x v="0"/>
    <x v="3"/>
    <s v="SKU2584"/>
    <x v="2"/>
    <s v="M"/>
    <n v="1"/>
    <s v="INR"/>
    <n v="1236"/>
    <s v="Bengaluru"/>
    <x v="2"/>
    <s v="560001"/>
    <s v="India"/>
    <s v="No"/>
  </r>
  <r>
    <n v="87"/>
    <s v="504-4521359-5632111"/>
    <n v="711428"/>
    <x v="0"/>
    <n v="60"/>
    <x v="2"/>
    <x v="0"/>
    <x v="0"/>
    <x v="0"/>
    <x v="1"/>
    <s v="SKU4339"/>
    <x v="0"/>
    <s v="XXL"/>
    <n v="1"/>
    <s v="INR"/>
    <n v="935"/>
    <s v="Kolkata"/>
    <x v="3"/>
    <s v="700001"/>
    <s v="India"/>
    <s v="Yes"/>
  </r>
  <r>
    <n v="88"/>
    <s v="130-1816119-7458643"/>
    <n v="187522"/>
    <x v="1"/>
    <n v="27"/>
    <x v="1"/>
    <x v="0"/>
    <x v="0"/>
    <x v="0"/>
    <x v="3"/>
    <s v="SKU9606"/>
    <x v="1"/>
    <s v="S"/>
    <n v="1"/>
    <s v="INR"/>
    <n v="1387"/>
    <s v="Kolkata"/>
    <x v="3"/>
    <s v="700001"/>
    <s v="India"/>
    <s v="No"/>
  </r>
  <r>
    <n v="89"/>
    <s v="711-4843099-4110528"/>
    <n v="706715"/>
    <x v="0"/>
    <n v="57"/>
    <x v="2"/>
    <x v="0"/>
    <x v="0"/>
    <x v="0"/>
    <x v="2"/>
    <s v="SKU7722"/>
    <x v="2"/>
    <s v="XL"/>
    <n v="1"/>
    <s v="INR"/>
    <n v="1300"/>
    <s v="Gurugram"/>
    <x v="1"/>
    <s v="122001"/>
    <s v="India"/>
    <s v="No"/>
  </r>
  <r>
    <n v="90"/>
    <s v="836-2287611-1700519"/>
    <n v="864535"/>
    <x v="1"/>
    <n v="19"/>
    <x v="1"/>
    <x v="0"/>
    <x v="0"/>
    <x v="0"/>
    <x v="0"/>
    <s v="SKU1768"/>
    <x v="1"/>
    <s v="XXL"/>
    <n v="1"/>
    <s v="INR"/>
    <n v="948"/>
    <s v="Gurugram"/>
    <x v="1"/>
    <s v="122001"/>
    <s v="India"/>
    <s v="Yes"/>
  </r>
  <r>
    <n v="91"/>
    <s v="968-8175422-4969085"/>
    <n v="562330"/>
    <x v="0"/>
    <n v="42"/>
    <x v="0"/>
    <x v="0"/>
    <x v="0"/>
    <x v="0"/>
    <x v="0"/>
    <s v="SKU5256"/>
    <x v="1"/>
    <s v="XL"/>
    <n v="1"/>
    <s v="INR"/>
    <n v="1728"/>
    <s v="Mohali"/>
    <x v="0"/>
    <s v="160055"/>
    <s v="India"/>
    <s v="No"/>
  </r>
  <r>
    <n v="92"/>
    <s v="305-6739867-7528391"/>
    <n v="247958"/>
    <x v="1"/>
    <n v="47"/>
    <x v="0"/>
    <x v="0"/>
    <x v="0"/>
    <x v="0"/>
    <x v="3"/>
    <s v="SKU3277"/>
    <x v="1"/>
    <s v="L"/>
    <n v="1"/>
    <s v="INR"/>
    <n v="352"/>
    <s v="Gurugram"/>
    <x v="1"/>
    <s v="122001"/>
    <s v="India"/>
    <s v="No"/>
  </r>
  <r>
    <n v="93"/>
    <s v="491-3113457-6356683"/>
    <n v="808387"/>
    <x v="0"/>
    <n v="70"/>
    <x v="2"/>
    <x v="0"/>
    <x v="0"/>
    <x v="0"/>
    <x v="3"/>
    <s v="SKU1424"/>
    <x v="1"/>
    <s v="M"/>
    <n v="1"/>
    <s v="INR"/>
    <n v="867"/>
    <s v="Mohali"/>
    <x v="0"/>
    <s v="160055"/>
    <s v="India"/>
    <s v="No"/>
  </r>
  <r>
    <n v="94"/>
    <s v="583-7767077-2806686"/>
    <n v="530182"/>
    <x v="1"/>
    <n v="31"/>
    <x v="0"/>
    <x v="0"/>
    <x v="0"/>
    <x v="0"/>
    <x v="2"/>
    <s v="SKU2883"/>
    <x v="2"/>
    <s v="L"/>
    <n v="1"/>
    <s v="INR"/>
    <n v="680"/>
    <s v="Mohali"/>
    <x v="0"/>
    <s v="160055"/>
    <s v="India"/>
    <s v="Yes"/>
  </r>
  <r>
    <n v="95"/>
    <s v="800-3307889-7421923"/>
    <n v="434674"/>
    <x v="0"/>
    <n v="35"/>
    <x v="0"/>
    <x v="0"/>
    <x v="0"/>
    <x v="0"/>
    <x v="2"/>
    <s v="SKU3621"/>
    <x v="0"/>
    <s v="S"/>
    <n v="1"/>
    <s v="INR"/>
    <n v="1563"/>
    <s v="Gurugram"/>
    <x v="1"/>
    <s v="122001"/>
    <s v="India"/>
    <s v="Yes"/>
  </r>
  <r>
    <n v="96"/>
    <s v="555-2030457-5701579"/>
    <n v="624238"/>
    <x v="1"/>
    <n v="40"/>
    <x v="0"/>
    <x v="0"/>
    <x v="0"/>
    <x v="0"/>
    <x v="1"/>
    <s v="SKU5505"/>
    <x v="2"/>
    <s v="S"/>
    <n v="1"/>
    <s v="INR"/>
    <n v="1848"/>
    <s v="Kolkata"/>
    <x v="3"/>
    <s v="700001"/>
    <s v="India"/>
    <s v="No"/>
  </r>
  <r>
    <n v="97"/>
    <s v="562-5857506-2031349"/>
    <n v="885749"/>
    <x v="0"/>
    <n v="39"/>
    <x v="0"/>
    <x v="0"/>
    <x v="0"/>
    <x v="0"/>
    <x v="0"/>
    <s v="SKU2783"/>
    <x v="2"/>
    <s v="S"/>
    <n v="1"/>
    <s v="INR"/>
    <n v="1965"/>
    <s v="Mohali"/>
    <x v="0"/>
    <s v="160055"/>
    <s v="India"/>
    <s v="No"/>
  </r>
  <r>
    <n v="98"/>
    <s v="556-4747871-3653082"/>
    <n v="114938"/>
    <x v="1"/>
    <n v="27"/>
    <x v="1"/>
    <x v="0"/>
    <x v="0"/>
    <x v="0"/>
    <x v="1"/>
    <s v="SKU9908"/>
    <x v="0"/>
    <s v="XXL"/>
    <n v="1"/>
    <s v="INR"/>
    <n v="1432"/>
    <s v="Gurugram"/>
    <x v="1"/>
    <s v="122001"/>
    <s v="India"/>
    <s v="Yes"/>
  </r>
  <r>
    <n v="99"/>
    <s v="719-5312870-7111495"/>
    <n v="772612"/>
    <x v="0"/>
    <n v="44"/>
    <x v="0"/>
    <x v="0"/>
    <x v="0"/>
    <x v="0"/>
    <x v="1"/>
    <s v="SKU6260"/>
    <x v="0"/>
    <s v="S"/>
    <n v="1"/>
    <s v="INR"/>
    <n v="1375"/>
    <s v="Gurugram"/>
    <x v="1"/>
    <s v="122001"/>
    <s v="India"/>
    <s v="Yes"/>
  </r>
  <r>
    <n v="100"/>
    <s v="101-3682597-8829896"/>
    <n v="315603"/>
    <x v="1"/>
    <n v="23"/>
    <x v="1"/>
    <x v="0"/>
    <x v="0"/>
    <x v="0"/>
    <x v="2"/>
    <s v="SKU1805"/>
    <x v="2"/>
    <s v="S"/>
    <n v="1"/>
    <s v="INR"/>
    <n v="1594"/>
    <s v="Kolkata"/>
    <x v="3"/>
    <s v="700001"/>
    <s v="India"/>
    <s v="Yes"/>
  </r>
  <r>
    <n v="101"/>
    <s v="197-5595960-8721722"/>
    <n v="932710"/>
    <x v="0"/>
    <n v="63"/>
    <x v="2"/>
    <x v="0"/>
    <x v="0"/>
    <x v="0"/>
    <x v="0"/>
    <s v="SKU9987"/>
    <x v="2"/>
    <s v="S"/>
    <n v="1"/>
    <s v="INR"/>
    <n v="1189"/>
    <s v="Kolkata"/>
    <x v="3"/>
    <s v="700001"/>
    <s v="India"/>
    <s v="No"/>
  </r>
  <r>
    <n v="102"/>
    <s v="667-8979199-2779892"/>
    <n v="395729"/>
    <x v="1"/>
    <n v="58"/>
    <x v="2"/>
    <x v="0"/>
    <x v="0"/>
    <x v="0"/>
    <x v="3"/>
    <s v="SKU6431"/>
    <x v="2"/>
    <s v="XXL"/>
    <n v="1"/>
    <s v="INR"/>
    <n v="876"/>
    <s v="Bengaluru"/>
    <x v="2"/>
    <s v="560001"/>
    <s v="India"/>
    <s v="Yes"/>
  </r>
  <r>
    <n v="103"/>
    <s v="725-9874682-8097296"/>
    <n v="439836"/>
    <x v="0"/>
    <n v="63"/>
    <x v="2"/>
    <x v="0"/>
    <x v="0"/>
    <x v="0"/>
    <x v="2"/>
    <s v="SKU3859"/>
    <x v="1"/>
    <s v="S"/>
    <n v="1"/>
    <s v="INR"/>
    <n v="1127"/>
    <s v="Bengaluru"/>
    <x v="2"/>
    <s v="560001"/>
    <s v="India"/>
    <s v="Yes"/>
  </r>
  <r>
    <n v="104"/>
    <s v="629-8521279-3618603"/>
    <n v="919478"/>
    <x v="1"/>
    <n v="42"/>
    <x v="0"/>
    <x v="0"/>
    <x v="0"/>
    <x v="0"/>
    <x v="3"/>
    <s v="SKU1795"/>
    <x v="2"/>
    <s v="XL"/>
    <n v="1"/>
    <s v="INR"/>
    <n v="898"/>
    <s v="Bengaluru"/>
    <x v="2"/>
    <s v="560001"/>
    <s v="India"/>
    <s v="No"/>
  </r>
  <r>
    <n v="105"/>
    <s v="828-6250185-3636730"/>
    <n v="312707"/>
    <x v="0"/>
    <n v="39"/>
    <x v="0"/>
    <x v="0"/>
    <x v="0"/>
    <x v="0"/>
    <x v="1"/>
    <s v="SKU8142"/>
    <x v="0"/>
    <s v="S"/>
    <n v="1"/>
    <s v="INR"/>
    <n v="322"/>
    <s v="Gurugram"/>
    <x v="1"/>
    <s v="122001"/>
    <s v="India"/>
    <s v="No"/>
  </r>
  <r>
    <n v="106"/>
    <s v="433-4296910-6225216"/>
    <n v="729447"/>
    <x v="1"/>
    <n v="47"/>
    <x v="0"/>
    <x v="0"/>
    <x v="0"/>
    <x v="0"/>
    <x v="0"/>
    <s v="SKU7475"/>
    <x v="0"/>
    <s v="M"/>
    <n v="1"/>
    <s v="INR"/>
    <n v="1893"/>
    <s v="Kolkata"/>
    <x v="3"/>
    <s v="700001"/>
    <s v="India"/>
    <s v="No"/>
  </r>
  <r>
    <n v="107"/>
    <s v="119-9327686-4656254"/>
    <n v="647246"/>
    <x v="0"/>
    <n v="30"/>
    <x v="0"/>
    <x v="0"/>
    <x v="0"/>
    <x v="0"/>
    <x v="1"/>
    <s v="SKU9265"/>
    <x v="2"/>
    <s v="XL"/>
    <n v="1"/>
    <s v="INR"/>
    <n v="1015"/>
    <s v="Gurugram"/>
    <x v="1"/>
    <s v="122001"/>
    <s v="India"/>
    <s v="Yes"/>
  </r>
  <r>
    <n v="108"/>
    <s v="467-7686516-5054709"/>
    <n v="673168"/>
    <x v="1"/>
    <n v="56"/>
    <x v="2"/>
    <x v="0"/>
    <x v="0"/>
    <x v="0"/>
    <x v="2"/>
    <s v="SKU9583"/>
    <x v="2"/>
    <s v="M"/>
    <n v="1"/>
    <s v="INR"/>
    <n v="930"/>
    <s v="Kolkata"/>
    <x v="3"/>
    <s v="700001"/>
    <s v="India"/>
    <s v="No"/>
  </r>
  <r>
    <n v="109"/>
    <s v="640-2635543-5974040"/>
    <n v="909465"/>
    <x v="0"/>
    <n v="44"/>
    <x v="0"/>
    <x v="0"/>
    <x v="0"/>
    <x v="0"/>
    <x v="0"/>
    <s v="SKU1902"/>
    <x v="0"/>
    <s v="M"/>
    <n v="1"/>
    <s v="INR"/>
    <n v="1476"/>
    <s v="Gurugram"/>
    <x v="1"/>
    <s v="122001"/>
    <s v="India"/>
    <s v="No"/>
  </r>
  <r>
    <n v="110"/>
    <s v="870-2445164-9789502"/>
    <n v="101734"/>
    <x v="1"/>
    <n v="52"/>
    <x v="2"/>
    <x v="0"/>
    <x v="0"/>
    <x v="0"/>
    <x v="3"/>
    <s v="SKU9633"/>
    <x v="1"/>
    <s v="XL"/>
    <n v="1"/>
    <s v="INR"/>
    <n v="1939"/>
    <s v="Mohali"/>
    <x v="0"/>
    <s v="160055"/>
    <s v="India"/>
    <s v="Yes"/>
  </r>
  <r>
    <n v="111"/>
    <s v="144-5610475-4842085"/>
    <n v="362015"/>
    <x v="0"/>
    <n v="52"/>
    <x v="2"/>
    <x v="0"/>
    <x v="0"/>
    <x v="0"/>
    <x v="3"/>
    <s v="SKU8948"/>
    <x v="2"/>
    <s v="XL"/>
    <n v="1"/>
    <s v="INR"/>
    <n v="1751"/>
    <s v="Kolkata"/>
    <x v="3"/>
    <s v="700001"/>
    <s v="India"/>
    <s v="No"/>
  </r>
  <r>
    <n v="112"/>
    <s v="464-7250070-8862002"/>
    <n v="578441"/>
    <x v="1"/>
    <n v="46"/>
    <x v="0"/>
    <x v="0"/>
    <x v="0"/>
    <x v="0"/>
    <x v="3"/>
    <s v="SKU4276"/>
    <x v="1"/>
    <s v="XL"/>
    <n v="1"/>
    <s v="INR"/>
    <n v="1780"/>
    <s v="Kolkata"/>
    <x v="3"/>
    <s v="700001"/>
    <s v="India"/>
    <s v="No"/>
  </r>
  <r>
    <n v="113"/>
    <s v="868-1230020-1692603"/>
    <n v="559378"/>
    <x v="0"/>
    <n v="20"/>
    <x v="1"/>
    <x v="0"/>
    <x v="0"/>
    <x v="0"/>
    <x v="0"/>
    <s v="SKU8583"/>
    <x v="2"/>
    <s v="XXL"/>
    <n v="1"/>
    <s v="INR"/>
    <n v="1333"/>
    <s v="Kolkata"/>
    <x v="3"/>
    <s v="700001"/>
    <s v="India"/>
    <s v="Yes"/>
  </r>
  <r>
    <n v="114"/>
    <s v="384-9590331-2949364"/>
    <n v="573393"/>
    <x v="1"/>
    <n v="44"/>
    <x v="0"/>
    <x v="0"/>
    <x v="0"/>
    <x v="0"/>
    <x v="3"/>
    <s v="SKU9664"/>
    <x v="1"/>
    <s v="XL"/>
    <n v="1"/>
    <s v="INR"/>
    <n v="1841"/>
    <s v="Mohali"/>
    <x v="0"/>
    <s v="160055"/>
    <s v="India"/>
    <s v="Yes"/>
  </r>
  <r>
    <n v="115"/>
    <s v="827-5232042-3008778"/>
    <n v="792154"/>
    <x v="0"/>
    <n v="50"/>
    <x v="2"/>
    <x v="0"/>
    <x v="0"/>
    <x v="0"/>
    <x v="1"/>
    <s v="SKU3697"/>
    <x v="0"/>
    <s v="M"/>
    <n v="1"/>
    <s v="INR"/>
    <n v="478"/>
    <s v="Bengaluru"/>
    <x v="2"/>
    <s v="560001"/>
    <s v="India"/>
    <s v="Yes"/>
  </r>
  <r>
    <n v="116"/>
    <s v="921-8623472-1636608"/>
    <n v="902536"/>
    <x v="1"/>
    <n v="68"/>
    <x v="2"/>
    <x v="0"/>
    <x v="0"/>
    <x v="0"/>
    <x v="2"/>
    <s v="SKU2685"/>
    <x v="2"/>
    <s v="L"/>
    <n v="1"/>
    <s v="INR"/>
    <n v="789"/>
    <s v="Kolkata"/>
    <x v="3"/>
    <s v="700001"/>
    <s v="India"/>
    <s v="No"/>
  </r>
  <r>
    <n v="117"/>
    <s v="868-7727637-7737171"/>
    <n v="826644"/>
    <x v="0"/>
    <n v="63"/>
    <x v="2"/>
    <x v="0"/>
    <x v="0"/>
    <x v="0"/>
    <x v="3"/>
    <s v="SKU7394"/>
    <x v="1"/>
    <s v="S"/>
    <n v="1"/>
    <s v="INR"/>
    <n v="1740"/>
    <s v="Mohali"/>
    <x v="0"/>
    <s v="160055"/>
    <s v="India"/>
    <s v="No"/>
  </r>
  <r>
    <n v="118"/>
    <s v="505-4132404-9288282"/>
    <n v="520447"/>
    <x v="1"/>
    <n v="22"/>
    <x v="1"/>
    <x v="0"/>
    <x v="0"/>
    <x v="0"/>
    <x v="1"/>
    <s v="SKU8356"/>
    <x v="1"/>
    <s v="M"/>
    <n v="1"/>
    <s v="INR"/>
    <n v="1569"/>
    <s v="Kolkata"/>
    <x v="3"/>
    <s v="700001"/>
    <s v="India"/>
    <s v="Yes"/>
  </r>
  <r>
    <n v="119"/>
    <s v="891-1558043-9840089"/>
    <n v="162429"/>
    <x v="0"/>
    <n v="40"/>
    <x v="0"/>
    <x v="0"/>
    <x v="0"/>
    <x v="0"/>
    <x v="2"/>
    <s v="SKU4820"/>
    <x v="0"/>
    <s v="S"/>
    <n v="1"/>
    <s v="INR"/>
    <n v="1532"/>
    <s v="Gurugram"/>
    <x v="1"/>
    <s v="122001"/>
    <s v="India"/>
    <s v="No"/>
  </r>
  <r>
    <n v="120"/>
    <s v="915-2349175-3860701"/>
    <n v="998342"/>
    <x v="1"/>
    <n v="35"/>
    <x v="0"/>
    <x v="0"/>
    <x v="0"/>
    <x v="0"/>
    <x v="2"/>
    <s v="SKU9889"/>
    <x v="1"/>
    <s v="L"/>
    <n v="1"/>
    <s v="INR"/>
    <n v="489"/>
    <s v="Kolkata"/>
    <x v="3"/>
    <s v="700001"/>
    <s v="India"/>
    <s v="Yes"/>
  </r>
  <r>
    <n v="121"/>
    <s v="841-8487966-9767272"/>
    <n v="228566"/>
    <x v="0"/>
    <n v="18"/>
    <x v="1"/>
    <x v="0"/>
    <x v="0"/>
    <x v="0"/>
    <x v="1"/>
    <s v="SKU8291"/>
    <x v="0"/>
    <s v="L"/>
    <n v="1"/>
    <s v="INR"/>
    <n v="1406"/>
    <s v="Kolkata"/>
    <x v="3"/>
    <s v="700001"/>
    <s v="India"/>
    <s v="Yes"/>
  </r>
  <r>
    <n v="122"/>
    <s v="456-7200642-2448902"/>
    <n v="353466"/>
    <x v="1"/>
    <n v="44"/>
    <x v="0"/>
    <x v="0"/>
    <x v="0"/>
    <x v="0"/>
    <x v="1"/>
    <s v="SKU1520"/>
    <x v="2"/>
    <s v="S"/>
    <n v="1"/>
    <s v="INR"/>
    <n v="1908"/>
    <s v="Mohali"/>
    <x v="0"/>
    <s v="160055"/>
    <s v="India"/>
    <s v="Yes"/>
  </r>
  <r>
    <n v="123"/>
    <s v="295-3429368-3530480"/>
    <n v="434503"/>
    <x v="0"/>
    <n v="25"/>
    <x v="1"/>
    <x v="0"/>
    <x v="0"/>
    <x v="0"/>
    <x v="0"/>
    <s v="SKU5312"/>
    <x v="1"/>
    <s v="L"/>
    <n v="1"/>
    <s v="INR"/>
    <n v="896"/>
    <s v="Bengaluru"/>
    <x v="2"/>
    <s v="560001"/>
    <s v="India"/>
    <s v="Yes"/>
  </r>
  <r>
    <n v="124"/>
    <s v="752-2291277-2895174"/>
    <n v="169243"/>
    <x v="1"/>
    <n v="25"/>
    <x v="1"/>
    <x v="0"/>
    <x v="0"/>
    <x v="0"/>
    <x v="3"/>
    <s v="SKU9410"/>
    <x v="0"/>
    <s v="M"/>
    <n v="1"/>
    <s v="INR"/>
    <n v="1302"/>
    <s v="Gurugram"/>
    <x v="1"/>
    <s v="122001"/>
    <s v="India"/>
    <s v="Yes"/>
  </r>
  <r>
    <n v="125"/>
    <s v="499-9586262-3947274"/>
    <n v="300520"/>
    <x v="0"/>
    <n v="22"/>
    <x v="1"/>
    <x v="0"/>
    <x v="0"/>
    <x v="0"/>
    <x v="3"/>
    <s v="SKU7749"/>
    <x v="2"/>
    <s v="M"/>
    <n v="1"/>
    <s v="INR"/>
    <n v="819"/>
    <s v="Mohali"/>
    <x v="0"/>
    <s v="160055"/>
    <s v="India"/>
    <s v="No"/>
  </r>
  <r>
    <n v="126"/>
    <s v="232-6446232-5164259"/>
    <n v="929712"/>
    <x v="1"/>
    <n v="49"/>
    <x v="0"/>
    <x v="0"/>
    <x v="0"/>
    <x v="0"/>
    <x v="2"/>
    <s v="SKU5318"/>
    <x v="0"/>
    <s v="XL"/>
    <n v="1"/>
    <s v="INR"/>
    <n v="997"/>
    <s v="Mohali"/>
    <x v="0"/>
    <s v="160055"/>
    <s v="India"/>
    <s v="Yes"/>
  </r>
  <r>
    <n v="127"/>
    <s v="818-2217622-3728633"/>
    <n v="955502"/>
    <x v="0"/>
    <n v="54"/>
    <x v="2"/>
    <x v="0"/>
    <x v="0"/>
    <x v="0"/>
    <x v="3"/>
    <s v="SKU5464"/>
    <x v="0"/>
    <s v="XL"/>
    <n v="1"/>
    <s v="INR"/>
    <n v="1630"/>
    <s v="Kolkata"/>
    <x v="3"/>
    <s v="700001"/>
    <s v="India"/>
    <s v="Yes"/>
  </r>
  <r>
    <n v="128"/>
    <s v="893-2028061-3057550"/>
    <n v="904831"/>
    <x v="1"/>
    <n v="61"/>
    <x v="2"/>
    <x v="0"/>
    <x v="0"/>
    <x v="0"/>
    <x v="0"/>
    <s v="SKU6817"/>
    <x v="0"/>
    <s v="S"/>
    <n v="1"/>
    <s v="INR"/>
    <n v="1643"/>
    <s v="Bengaluru"/>
    <x v="2"/>
    <s v="560001"/>
    <s v="India"/>
    <s v="Yes"/>
  </r>
  <r>
    <n v="129"/>
    <s v="908-1311005-5690590"/>
    <n v="609630"/>
    <x v="0"/>
    <n v="20"/>
    <x v="1"/>
    <x v="0"/>
    <x v="0"/>
    <x v="0"/>
    <x v="0"/>
    <s v="SKU8821"/>
    <x v="0"/>
    <s v="S"/>
    <n v="1"/>
    <s v="INR"/>
    <n v="1220"/>
    <s v="Gurugram"/>
    <x v="1"/>
    <s v="122001"/>
    <s v="India"/>
    <s v="Yes"/>
  </r>
  <r>
    <n v="130"/>
    <s v="848-9839484-6211417"/>
    <n v="726540"/>
    <x v="1"/>
    <n v="55"/>
    <x v="2"/>
    <x v="0"/>
    <x v="0"/>
    <x v="0"/>
    <x v="0"/>
    <s v="SKU6699"/>
    <x v="2"/>
    <s v="XL"/>
    <n v="1"/>
    <s v="INR"/>
    <n v="1213"/>
    <s v="Kolkata"/>
    <x v="3"/>
    <s v="700001"/>
    <s v="India"/>
    <s v="No"/>
  </r>
  <r>
    <n v="131"/>
    <s v="636-7173272-9546625"/>
    <n v="997958"/>
    <x v="0"/>
    <n v="50"/>
    <x v="2"/>
    <x v="0"/>
    <x v="0"/>
    <x v="0"/>
    <x v="2"/>
    <s v="SKU4888"/>
    <x v="0"/>
    <s v="M"/>
    <n v="1"/>
    <s v="INR"/>
    <n v="1730"/>
    <s v="Mohali"/>
    <x v="0"/>
    <s v="160055"/>
    <s v="India"/>
    <s v="Yes"/>
  </r>
  <r>
    <n v="132"/>
    <s v="770-6823619-9041235"/>
    <n v="877278"/>
    <x v="1"/>
    <n v="62"/>
    <x v="2"/>
    <x v="0"/>
    <x v="0"/>
    <x v="0"/>
    <x v="1"/>
    <s v="SKU1545"/>
    <x v="1"/>
    <s v="XL"/>
    <n v="1"/>
    <s v="INR"/>
    <n v="1463"/>
    <s v="Kolkata"/>
    <x v="3"/>
    <s v="700001"/>
    <s v="India"/>
    <s v="Yes"/>
  </r>
  <r>
    <n v="133"/>
    <s v="200-2429172-1404236"/>
    <n v="193766"/>
    <x v="0"/>
    <n v="29"/>
    <x v="1"/>
    <x v="0"/>
    <x v="0"/>
    <x v="0"/>
    <x v="3"/>
    <s v="SKU6877"/>
    <x v="0"/>
    <s v="L"/>
    <n v="1"/>
    <s v="INR"/>
    <n v="1761"/>
    <s v="Bengaluru"/>
    <x v="2"/>
    <s v="560001"/>
    <s v="India"/>
    <s v="Yes"/>
  </r>
  <r>
    <n v="134"/>
    <s v="993-6205099-6803072"/>
    <n v="544329"/>
    <x v="1"/>
    <n v="23"/>
    <x v="1"/>
    <x v="0"/>
    <x v="0"/>
    <x v="0"/>
    <x v="1"/>
    <s v="SKU2754"/>
    <x v="0"/>
    <s v="S"/>
    <n v="1"/>
    <s v="INR"/>
    <n v="753"/>
    <s v="Bengaluru"/>
    <x v="2"/>
    <s v="560001"/>
    <s v="India"/>
    <s v="No"/>
  </r>
  <r>
    <n v="135"/>
    <s v="207-7559308-9581357"/>
    <n v="308839"/>
    <x v="0"/>
    <n v="22"/>
    <x v="1"/>
    <x v="0"/>
    <x v="0"/>
    <x v="0"/>
    <x v="0"/>
    <s v="SKU7619"/>
    <x v="1"/>
    <s v="S"/>
    <n v="1"/>
    <s v="INR"/>
    <n v="1122"/>
    <s v="Bengaluru"/>
    <x v="2"/>
    <s v="560001"/>
    <s v="India"/>
    <s v="Yes"/>
  </r>
  <r>
    <n v="136"/>
    <s v="513-7205217-2496476"/>
    <n v="377161"/>
    <x v="1"/>
    <n v="67"/>
    <x v="2"/>
    <x v="0"/>
    <x v="0"/>
    <x v="0"/>
    <x v="0"/>
    <s v="SKU7856"/>
    <x v="0"/>
    <s v="L"/>
    <n v="1"/>
    <s v="INR"/>
    <n v="810"/>
    <s v="Kolkata"/>
    <x v="3"/>
    <s v="700001"/>
    <s v="India"/>
    <s v="No"/>
  </r>
  <r>
    <n v="137"/>
    <s v="566-3255905-6005906"/>
    <n v="835759"/>
    <x v="0"/>
    <n v="44"/>
    <x v="0"/>
    <x v="0"/>
    <x v="0"/>
    <x v="0"/>
    <x v="3"/>
    <s v="SKU6490"/>
    <x v="1"/>
    <s v="S"/>
    <n v="1"/>
    <s v="INR"/>
    <n v="1959"/>
    <s v="Kolkata"/>
    <x v="3"/>
    <s v="700001"/>
    <s v="India"/>
    <s v="No"/>
  </r>
  <r>
    <n v="138"/>
    <s v="273-5139902-1978243"/>
    <n v="329983"/>
    <x v="1"/>
    <n v="48"/>
    <x v="0"/>
    <x v="0"/>
    <x v="0"/>
    <x v="0"/>
    <x v="1"/>
    <s v="SKU5428"/>
    <x v="2"/>
    <s v="XXL"/>
    <n v="1"/>
    <s v="INR"/>
    <n v="1434"/>
    <s v="Mohali"/>
    <x v="0"/>
    <s v="160055"/>
    <s v="India"/>
    <s v="Yes"/>
  </r>
  <r>
    <n v="139"/>
    <s v="754-1738225-7319760"/>
    <n v="372809"/>
    <x v="0"/>
    <n v="35"/>
    <x v="0"/>
    <x v="0"/>
    <x v="0"/>
    <x v="0"/>
    <x v="3"/>
    <s v="SKU3833"/>
    <x v="0"/>
    <s v="S"/>
    <n v="1"/>
    <s v="INR"/>
    <n v="908"/>
    <s v="Kolkata"/>
    <x v="3"/>
    <s v="700001"/>
    <s v="India"/>
    <s v="No"/>
  </r>
  <r>
    <n v="140"/>
    <s v="301-2190320-5650783"/>
    <n v="994070"/>
    <x v="1"/>
    <n v="60"/>
    <x v="2"/>
    <x v="0"/>
    <x v="0"/>
    <x v="0"/>
    <x v="2"/>
    <s v="SKU8860"/>
    <x v="2"/>
    <s v="M"/>
    <n v="1"/>
    <s v="INR"/>
    <n v="808"/>
    <s v="Mohali"/>
    <x v="0"/>
    <s v="160055"/>
    <s v="India"/>
    <s v="Yes"/>
  </r>
  <r>
    <n v="141"/>
    <s v="173-1327755-2269366"/>
    <n v="437906"/>
    <x v="0"/>
    <n v="19"/>
    <x v="1"/>
    <x v="0"/>
    <x v="0"/>
    <x v="0"/>
    <x v="2"/>
    <s v="SKU3829"/>
    <x v="2"/>
    <s v="S"/>
    <n v="1"/>
    <s v="INR"/>
    <n v="814"/>
    <s v="Mohali"/>
    <x v="0"/>
    <s v="160055"/>
    <s v="India"/>
    <s v="No"/>
  </r>
  <r>
    <n v="142"/>
    <s v="532-6499130-2701426"/>
    <n v="589005"/>
    <x v="1"/>
    <n v="25"/>
    <x v="1"/>
    <x v="0"/>
    <x v="0"/>
    <x v="0"/>
    <x v="2"/>
    <s v="SKU9364"/>
    <x v="0"/>
    <s v="L"/>
    <n v="1"/>
    <s v="INR"/>
    <n v="616"/>
    <s v="Kolkata"/>
    <x v="3"/>
    <s v="700001"/>
    <s v="India"/>
    <s v="Yes"/>
  </r>
  <r>
    <n v="143"/>
    <s v="148-7578347-2960393"/>
    <n v="467539"/>
    <x v="0"/>
    <n v="60"/>
    <x v="2"/>
    <x v="0"/>
    <x v="0"/>
    <x v="0"/>
    <x v="2"/>
    <s v="SKU5405"/>
    <x v="1"/>
    <s v="XXL"/>
    <n v="1"/>
    <s v="INR"/>
    <n v="646"/>
    <s v="Gurugram"/>
    <x v="1"/>
    <s v="122001"/>
    <s v="India"/>
    <s v="Yes"/>
  </r>
  <r>
    <n v="144"/>
    <s v="391-8022252-1991683"/>
    <n v="703479"/>
    <x v="1"/>
    <n v="42"/>
    <x v="0"/>
    <x v="0"/>
    <x v="0"/>
    <x v="0"/>
    <x v="1"/>
    <s v="SKU9528"/>
    <x v="1"/>
    <s v="M"/>
    <n v="1"/>
    <s v="INR"/>
    <n v="1516"/>
    <s v="Gurugram"/>
    <x v="1"/>
    <s v="122001"/>
    <s v="India"/>
    <s v="Yes"/>
  </r>
  <r>
    <n v="145"/>
    <s v="226-3243517-4029307"/>
    <n v="802341"/>
    <x v="0"/>
    <n v="19"/>
    <x v="1"/>
    <x v="0"/>
    <x v="0"/>
    <x v="0"/>
    <x v="2"/>
    <s v="SKU8045"/>
    <x v="0"/>
    <s v="M"/>
    <n v="1"/>
    <s v="INR"/>
    <n v="675"/>
    <s v="Kolkata"/>
    <x v="3"/>
    <s v="700001"/>
    <s v="India"/>
    <s v="No"/>
  </r>
  <r>
    <n v="146"/>
    <s v="743-5478660-3387185"/>
    <n v="459450"/>
    <x v="1"/>
    <n v="45"/>
    <x v="0"/>
    <x v="0"/>
    <x v="0"/>
    <x v="0"/>
    <x v="2"/>
    <s v="SKU6261"/>
    <x v="0"/>
    <s v="XXL"/>
    <n v="1"/>
    <s v="INR"/>
    <n v="1270"/>
    <s v="Gurugram"/>
    <x v="1"/>
    <s v="122001"/>
    <s v="India"/>
    <s v="No"/>
  </r>
  <r>
    <n v="147"/>
    <s v="232-7189242-9382999"/>
    <n v="244204"/>
    <x v="0"/>
    <n v="31"/>
    <x v="0"/>
    <x v="0"/>
    <x v="0"/>
    <x v="0"/>
    <x v="3"/>
    <s v="SKU1225"/>
    <x v="2"/>
    <s v="L"/>
    <n v="1"/>
    <s v="INR"/>
    <n v="1053"/>
    <s v="Kolkata"/>
    <x v="3"/>
    <s v="700001"/>
    <s v="India"/>
    <s v="No"/>
  </r>
  <r>
    <n v="148"/>
    <s v="779-3677924-3216173"/>
    <n v="311378"/>
    <x v="1"/>
    <n v="23"/>
    <x v="1"/>
    <x v="0"/>
    <x v="0"/>
    <x v="0"/>
    <x v="3"/>
    <s v="SKU2655"/>
    <x v="0"/>
    <s v="XXL"/>
    <n v="1"/>
    <s v="INR"/>
    <n v="329"/>
    <s v="Gurugram"/>
    <x v="1"/>
    <s v="122001"/>
    <s v="India"/>
    <s v="No"/>
  </r>
  <r>
    <n v="149"/>
    <s v="848-9472930-7472506"/>
    <n v="684721"/>
    <x v="0"/>
    <n v="19"/>
    <x v="1"/>
    <x v="0"/>
    <x v="0"/>
    <x v="0"/>
    <x v="0"/>
    <s v="SKU7450"/>
    <x v="1"/>
    <s v="XXL"/>
    <n v="1"/>
    <s v="INR"/>
    <n v="1627"/>
    <s v="Kolkata"/>
    <x v="3"/>
    <s v="700001"/>
    <s v="India"/>
    <s v="Yes"/>
  </r>
  <r>
    <n v="150"/>
    <s v="938-6386513-4552745"/>
    <n v="332007"/>
    <x v="1"/>
    <n v="61"/>
    <x v="2"/>
    <x v="0"/>
    <x v="0"/>
    <x v="0"/>
    <x v="3"/>
    <s v="SKU1013"/>
    <x v="2"/>
    <s v="M"/>
    <n v="1"/>
    <s v="INR"/>
    <n v="1760"/>
    <s v="Kolkata"/>
    <x v="3"/>
    <s v="700001"/>
    <s v="India"/>
    <s v="No"/>
  </r>
  <r>
    <n v="151"/>
    <s v="961-2500427-7985176"/>
    <n v="439228"/>
    <x v="0"/>
    <n v="64"/>
    <x v="2"/>
    <x v="0"/>
    <x v="0"/>
    <x v="0"/>
    <x v="0"/>
    <s v="SKU4357"/>
    <x v="1"/>
    <s v="XL"/>
    <n v="1"/>
    <s v="INR"/>
    <n v="324"/>
    <s v="Bengaluru"/>
    <x v="2"/>
    <s v="560001"/>
    <s v="India"/>
    <s v="Yes"/>
  </r>
  <r>
    <n v="152"/>
    <s v="207-3433422-5652467"/>
    <n v="278278"/>
    <x v="1"/>
    <n v="26"/>
    <x v="1"/>
    <x v="0"/>
    <x v="0"/>
    <x v="0"/>
    <x v="0"/>
    <s v="SKU5279"/>
    <x v="1"/>
    <s v="S"/>
    <n v="1"/>
    <s v="INR"/>
    <n v="468"/>
    <s v="Gurugram"/>
    <x v="1"/>
    <s v="122001"/>
    <s v="India"/>
    <s v="Yes"/>
  </r>
  <r>
    <n v="153"/>
    <s v="760-9258802-9047795"/>
    <n v="687077"/>
    <x v="0"/>
    <n v="31"/>
    <x v="0"/>
    <x v="0"/>
    <x v="0"/>
    <x v="0"/>
    <x v="1"/>
    <s v="SKU2940"/>
    <x v="2"/>
    <s v="M"/>
    <n v="1"/>
    <s v="INR"/>
    <n v="1169"/>
    <s v="Gurugram"/>
    <x v="1"/>
    <s v="122001"/>
    <s v="India"/>
    <s v="No"/>
  </r>
  <r>
    <n v="154"/>
    <s v="849-3786596-6007678"/>
    <n v="578185"/>
    <x v="1"/>
    <n v="53"/>
    <x v="2"/>
    <x v="0"/>
    <x v="0"/>
    <x v="0"/>
    <x v="3"/>
    <s v="SKU2681"/>
    <x v="1"/>
    <s v="S"/>
    <n v="1"/>
    <s v="INR"/>
    <n v="664"/>
    <s v="Kolkata"/>
    <x v="3"/>
    <s v="700001"/>
    <s v="India"/>
    <s v="No"/>
  </r>
  <r>
    <n v="155"/>
    <s v="595-6136414-8370884"/>
    <n v="121680"/>
    <x v="0"/>
    <n v="32"/>
    <x v="0"/>
    <x v="0"/>
    <x v="0"/>
    <x v="0"/>
    <x v="1"/>
    <s v="SKU9748"/>
    <x v="1"/>
    <s v="XL"/>
    <n v="1"/>
    <s v="INR"/>
    <n v="1167"/>
    <s v="Gurugram"/>
    <x v="1"/>
    <s v="122001"/>
    <s v="India"/>
    <s v="No"/>
  </r>
  <r>
    <n v="156"/>
    <s v="452-2183575-7132222"/>
    <n v="588866"/>
    <x v="1"/>
    <n v="69"/>
    <x v="2"/>
    <x v="0"/>
    <x v="0"/>
    <x v="0"/>
    <x v="0"/>
    <s v="SKU8761"/>
    <x v="1"/>
    <s v="XXL"/>
    <n v="1"/>
    <s v="INR"/>
    <n v="760"/>
    <s v="Kolkata"/>
    <x v="3"/>
    <s v="700001"/>
    <s v="India"/>
    <s v="No"/>
  </r>
  <r>
    <n v="157"/>
    <s v="679-5130248-3942987"/>
    <n v="840873"/>
    <x v="0"/>
    <n v="65"/>
    <x v="2"/>
    <x v="0"/>
    <x v="0"/>
    <x v="0"/>
    <x v="0"/>
    <s v="SKU8029"/>
    <x v="1"/>
    <s v="L"/>
    <n v="1"/>
    <s v="INR"/>
    <n v="489"/>
    <s v="Mohali"/>
    <x v="0"/>
    <s v="160055"/>
    <s v="India"/>
    <s v="No"/>
  </r>
  <r>
    <n v="158"/>
    <s v="891-8994001-1675405"/>
    <n v="773008"/>
    <x v="1"/>
    <n v="49"/>
    <x v="0"/>
    <x v="0"/>
    <x v="0"/>
    <x v="0"/>
    <x v="1"/>
    <s v="SKU1052"/>
    <x v="0"/>
    <s v="XL"/>
    <n v="1"/>
    <s v="INR"/>
    <n v="303"/>
    <s v="Gurugram"/>
    <x v="1"/>
    <s v="122001"/>
    <s v="India"/>
    <s v="No"/>
  </r>
  <r>
    <n v="159"/>
    <s v="369-8486105-3285380"/>
    <n v="544362"/>
    <x v="0"/>
    <n v="65"/>
    <x v="2"/>
    <x v="0"/>
    <x v="0"/>
    <x v="0"/>
    <x v="0"/>
    <s v="SKU4219"/>
    <x v="2"/>
    <s v="M"/>
    <n v="1"/>
    <s v="INR"/>
    <n v="1483"/>
    <s v="Bengaluru"/>
    <x v="2"/>
    <s v="560001"/>
    <s v="India"/>
    <s v="No"/>
  </r>
  <r>
    <n v="160"/>
    <s v="506-2154653-1788417"/>
    <n v="429723"/>
    <x v="1"/>
    <n v="31"/>
    <x v="0"/>
    <x v="0"/>
    <x v="0"/>
    <x v="0"/>
    <x v="2"/>
    <s v="SKU3182"/>
    <x v="1"/>
    <s v="M"/>
    <n v="1"/>
    <s v="INR"/>
    <n v="1655"/>
    <s v="Bengaluru"/>
    <x v="2"/>
    <s v="560001"/>
    <s v="India"/>
    <s v="Yes"/>
  </r>
  <r>
    <n v="161"/>
    <s v="362-8864292-4008349"/>
    <n v="191063"/>
    <x v="0"/>
    <n v="55"/>
    <x v="2"/>
    <x v="0"/>
    <x v="0"/>
    <x v="0"/>
    <x v="2"/>
    <s v="SKU2250"/>
    <x v="1"/>
    <s v="XL"/>
    <n v="1"/>
    <s v="INR"/>
    <n v="1016"/>
    <s v="Mohali"/>
    <x v="0"/>
    <s v="160055"/>
    <s v="India"/>
    <s v="Yes"/>
  </r>
  <r>
    <n v="162"/>
    <s v="308-3000499-1849578"/>
    <n v="731136"/>
    <x v="1"/>
    <n v="50"/>
    <x v="2"/>
    <x v="0"/>
    <x v="0"/>
    <x v="0"/>
    <x v="2"/>
    <s v="SKU2949"/>
    <x v="0"/>
    <s v="L"/>
    <n v="1"/>
    <s v="INR"/>
    <n v="945"/>
    <s v="Bengaluru"/>
    <x v="2"/>
    <s v="560001"/>
    <s v="India"/>
    <s v="Yes"/>
  </r>
  <r>
    <n v="163"/>
    <s v="386-7675512-5992615"/>
    <n v="214800"/>
    <x v="0"/>
    <n v="64"/>
    <x v="2"/>
    <x v="0"/>
    <x v="0"/>
    <x v="0"/>
    <x v="3"/>
    <s v="SKU7755"/>
    <x v="0"/>
    <s v="S"/>
    <n v="1"/>
    <s v="INR"/>
    <n v="960"/>
    <s v="Mohali"/>
    <x v="0"/>
    <s v="160055"/>
    <s v="India"/>
    <s v="Yes"/>
  </r>
  <r>
    <n v="164"/>
    <s v="739-9557361-5680425"/>
    <n v="172442"/>
    <x v="1"/>
    <n v="64"/>
    <x v="2"/>
    <x v="0"/>
    <x v="0"/>
    <x v="0"/>
    <x v="2"/>
    <s v="SKU5996"/>
    <x v="2"/>
    <s v="L"/>
    <n v="1"/>
    <s v="INR"/>
    <n v="758"/>
    <s v="Gurugram"/>
    <x v="1"/>
    <s v="122001"/>
    <s v="India"/>
    <s v="No"/>
  </r>
  <r>
    <n v="165"/>
    <s v="195-5543744-4847794"/>
    <n v="195164"/>
    <x v="0"/>
    <n v="39"/>
    <x v="0"/>
    <x v="0"/>
    <x v="0"/>
    <x v="0"/>
    <x v="1"/>
    <s v="SKU7736"/>
    <x v="1"/>
    <s v="XL"/>
    <n v="1"/>
    <s v="INR"/>
    <n v="348"/>
    <s v="Kolkata"/>
    <x v="3"/>
    <s v="700001"/>
    <s v="India"/>
    <s v="Yes"/>
  </r>
  <r>
    <n v="166"/>
    <s v="150-3139022-6145435"/>
    <n v="429611"/>
    <x v="1"/>
    <n v="59"/>
    <x v="2"/>
    <x v="0"/>
    <x v="0"/>
    <x v="0"/>
    <x v="3"/>
    <s v="SKU7528"/>
    <x v="1"/>
    <s v="XL"/>
    <n v="1"/>
    <s v="INR"/>
    <n v="590"/>
    <s v="Mohali"/>
    <x v="0"/>
    <s v="160055"/>
    <s v="India"/>
    <s v="No"/>
  </r>
  <r>
    <n v="167"/>
    <s v="143-8166511-2290094"/>
    <n v="925352"/>
    <x v="0"/>
    <n v="58"/>
    <x v="2"/>
    <x v="0"/>
    <x v="0"/>
    <x v="0"/>
    <x v="1"/>
    <s v="SKU8624"/>
    <x v="2"/>
    <s v="S"/>
    <n v="1"/>
    <s v="INR"/>
    <n v="1876"/>
    <s v="Kolkata"/>
    <x v="3"/>
    <s v="700001"/>
    <s v="India"/>
    <s v="No"/>
  </r>
  <r>
    <n v="168"/>
    <s v="413-9327562-9638948"/>
    <n v="793518"/>
    <x v="1"/>
    <n v="18"/>
    <x v="1"/>
    <x v="0"/>
    <x v="0"/>
    <x v="0"/>
    <x v="0"/>
    <s v="SKU6902"/>
    <x v="1"/>
    <s v="M"/>
    <n v="1"/>
    <s v="INR"/>
    <n v="848"/>
    <s v="Mohali"/>
    <x v="0"/>
    <s v="160055"/>
    <s v="India"/>
    <s v="No"/>
  </r>
  <r>
    <n v="169"/>
    <s v="179-2332331-2783826"/>
    <n v="779359"/>
    <x v="0"/>
    <n v="42"/>
    <x v="0"/>
    <x v="0"/>
    <x v="0"/>
    <x v="0"/>
    <x v="3"/>
    <s v="SKU6717"/>
    <x v="1"/>
    <s v="M"/>
    <n v="1"/>
    <s v="INR"/>
    <n v="1244"/>
    <s v="Mohali"/>
    <x v="0"/>
    <s v="160055"/>
    <s v="India"/>
    <s v="Yes"/>
  </r>
  <r>
    <n v="170"/>
    <s v="453-9871294-2501320"/>
    <n v="671614"/>
    <x v="1"/>
    <n v="33"/>
    <x v="0"/>
    <x v="0"/>
    <x v="0"/>
    <x v="0"/>
    <x v="0"/>
    <s v="SKU9960"/>
    <x v="2"/>
    <s v="M"/>
    <n v="1"/>
    <s v="INR"/>
    <n v="381"/>
    <s v="Gurugram"/>
    <x v="1"/>
    <s v="122001"/>
    <s v="India"/>
    <s v="Yes"/>
  </r>
  <r>
    <n v="171"/>
    <s v="936-5953935-1667420"/>
    <n v="633995"/>
    <x v="0"/>
    <n v="63"/>
    <x v="2"/>
    <x v="0"/>
    <x v="0"/>
    <x v="0"/>
    <x v="0"/>
    <s v="SKU9988"/>
    <x v="0"/>
    <s v="L"/>
    <n v="1"/>
    <s v="INR"/>
    <n v="305"/>
    <s v="Bengaluru"/>
    <x v="2"/>
    <s v="560001"/>
    <s v="India"/>
    <s v="Yes"/>
  </r>
  <r>
    <n v="172"/>
    <s v="957-7612185-3947102"/>
    <n v="468517"/>
    <x v="1"/>
    <n v="43"/>
    <x v="0"/>
    <x v="0"/>
    <x v="0"/>
    <x v="0"/>
    <x v="3"/>
    <s v="SKU3555"/>
    <x v="1"/>
    <s v="L"/>
    <n v="1"/>
    <s v="INR"/>
    <n v="376"/>
    <s v="Mohali"/>
    <x v="0"/>
    <s v="160055"/>
    <s v="India"/>
    <s v="Yes"/>
  </r>
  <r>
    <n v="173"/>
    <s v="586-4004390-5468052"/>
    <n v="725929"/>
    <x v="0"/>
    <n v="18"/>
    <x v="1"/>
    <x v="0"/>
    <x v="0"/>
    <x v="0"/>
    <x v="2"/>
    <s v="SKU9003"/>
    <x v="0"/>
    <s v="XXL"/>
    <n v="1"/>
    <s v="INR"/>
    <n v="1258"/>
    <s v="Kolkata"/>
    <x v="3"/>
    <s v="700001"/>
    <s v="India"/>
    <s v="No"/>
  </r>
  <r>
    <n v="174"/>
    <s v="149-3588592-2969453"/>
    <n v="492482"/>
    <x v="1"/>
    <n v="62"/>
    <x v="2"/>
    <x v="0"/>
    <x v="0"/>
    <x v="0"/>
    <x v="0"/>
    <s v="SKU8110"/>
    <x v="2"/>
    <s v="S"/>
    <n v="1"/>
    <s v="INR"/>
    <n v="795"/>
    <s v="Kolkata"/>
    <x v="3"/>
    <s v="700001"/>
    <s v="India"/>
    <s v="Yes"/>
  </r>
  <r>
    <n v="175"/>
    <s v="416-6475404-8576078"/>
    <n v="219492"/>
    <x v="0"/>
    <n v="57"/>
    <x v="2"/>
    <x v="0"/>
    <x v="0"/>
    <x v="0"/>
    <x v="1"/>
    <s v="SKU9532"/>
    <x v="1"/>
    <s v="XXL"/>
    <n v="1"/>
    <s v="INR"/>
    <n v="1449"/>
    <s v="Kolkata"/>
    <x v="3"/>
    <s v="700001"/>
    <s v="India"/>
    <s v="Yes"/>
  </r>
  <r>
    <n v="176"/>
    <s v="692-4675816-6004941"/>
    <n v="232460"/>
    <x v="1"/>
    <n v="57"/>
    <x v="2"/>
    <x v="0"/>
    <x v="0"/>
    <x v="0"/>
    <x v="2"/>
    <s v="SKU1907"/>
    <x v="0"/>
    <s v="M"/>
    <n v="1"/>
    <s v="INR"/>
    <n v="1638"/>
    <s v="Mohali"/>
    <x v="0"/>
    <s v="160055"/>
    <s v="India"/>
    <s v="Yes"/>
  </r>
  <r>
    <n v="177"/>
    <s v="419-4633914-9774742"/>
    <n v="817364"/>
    <x v="0"/>
    <n v="26"/>
    <x v="1"/>
    <x v="0"/>
    <x v="0"/>
    <x v="0"/>
    <x v="0"/>
    <s v="SKU3340"/>
    <x v="1"/>
    <s v="S"/>
    <n v="1"/>
    <s v="INR"/>
    <n v="488"/>
    <s v="Mohali"/>
    <x v="0"/>
    <s v="160055"/>
    <s v="India"/>
    <s v="Yes"/>
  </r>
  <r>
    <n v="178"/>
    <s v="390-1157563-7132555"/>
    <n v="761668"/>
    <x v="1"/>
    <n v="70"/>
    <x v="2"/>
    <x v="0"/>
    <x v="0"/>
    <x v="0"/>
    <x v="1"/>
    <s v="SKU3873"/>
    <x v="2"/>
    <s v="M"/>
    <n v="1"/>
    <s v="INR"/>
    <n v="1965"/>
    <s v="Gurugram"/>
    <x v="1"/>
    <s v="122001"/>
    <s v="India"/>
    <s v="Yes"/>
  </r>
  <r>
    <n v="179"/>
    <s v="295-6530259-8542866"/>
    <n v="397750"/>
    <x v="0"/>
    <n v="53"/>
    <x v="2"/>
    <x v="0"/>
    <x v="0"/>
    <x v="0"/>
    <x v="3"/>
    <s v="SKU3468"/>
    <x v="2"/>
    <s v="S"/>
    <n v="1"/>
    <s v="INR"/>
    <n v="1839"/>
    <s v="Mohali"/>
    <x v="0"/>
    <s v="160055"/>
    <s v="India"/>
    <s v="No"/>
  </r>
  <r>
    <n v="180"/>
    <s v="443-7877546-2778974"/>
    <n v="192980"/>
    <x v="1"/>
    <n v="33"/>
    <x v="0"/>
    <x v="0"/>
    <x v="0"/>
    <x v="0"/>
    <x v="0"/>
    <s v="SKU6605"/>
    <x v="1"/>
    <s v="S"/>
    <n v="1"/>
    <s v="INR"/>
    <n v="1529"/>
    <s v="Mohali"/>
    <x v="0"/>
    <s v="160055"/>
    <s v="India"/>
    <s v="Yes"/>
  </r>
  <r>
    <n v="181"/>
    <s v="981-8164593-2878527"/>
    <n v="155268"/>
    <x v="0"/>
    <n v="34"/>
    <x v="0"/>
    <x v="0"/>
    <x v="0"/>
    <x v="0"/>
    <x v="2"/>
    <s v="SKU6528"/>
    <x v="2"/>
    <s v="L"/>
    <n v="1"/>
    <s v="INR"/>
    <n v="557"/>
    <s v="Gurugram"/>
    <x v="1"/>
    <s v="122001"/>
    <s v="India"/>
    <s v="Yes"/>
  </r>
  <r>
    <n v="182"/>
    <s v="765-3305005-3166488"/>
    <n v="545633"/>
    <x v="1"/>
    <n v="37"/>
    <x v="0"/>
    <x v="0"/>
    <x v="0"/>
    <x v="0"/>
    <x v="0"/>
    <s v="SKU3263"/>
    <x v="1"/>
    <s v="XL"/>
    <n v="1"/>
    <s v="INR"/>
    <n v="1325"/>
    <s v="Mohali"/>
    <x v="0"/>
    <s v="160055"/>
    <s v="India"/>
    <s v="Yes"/>
  </r>
  <r>
    <n v="183"/>
    <s v="452-2426420-5827927"/>
    <n v="999096"/>
    <x v="0"/>
    <n v="20"/>
    <x v="1"/>
    <x v="0"/>
    <x v="0"/>
    <x v="0"/>
    <x v="2"/>
    <s v="SKU3221"/>
    <x v="0"/>
    <s v="XL"/>
    <n v="1"/>
    <s v="INR"/>
    <n v="1766"/>
    <s v="Bengaluru"/>
    <x v="2"/>
    <s v="560001"/>
    <s v="India"/>
    <s v="Yes"/>
  </r>
  <r>
    <n v="184"/>
    <s v="112-6233778-9831405"/>
    <n v="789360"/>
    <x v="1"/>
    <n v="33"/>
    <x v="0"/>
    <x v="0"/>
    <x v="0"/>
    <x v="0"/>
    <x v="0"/>
    <s v="SKU7634"/>
    <x v="1"/>
    <s v="M"/>
    <n v="1"/>
    <s v="INR"/>
    <n v="1695"/>
    <s v="Bengaluru"/>
    <x v="2"/>
    <s v="560001"/>
    <s v="India"/>
    <s v="No"/>
  </r>
  <r>
    <n v="185"/>
    <s v="328-7491722-3442091"/>
    <n v="452125"/>
    <x v="0"/>
    <n v="18"/>
    <x v="1"/>
    <x v="0"/>
    <x v="0"/>
    <x v="0"/>
    <x v="3"/>
    <s v="SKU3443"/>
    <x v="2"/>
    <s v="M"/>
    <n v="1"/>
    <s v="INR"/>
    <n v="654"/>
    <s v="Kolkata"/>
    <x v="3"/>
    <s v="700001"/>
    <s v="India"/>
    <s v="No"/>
  </r>
  <r>
    <n v="186"/>
    <s v="471-8986011-1975428"/>
    <n v="860006"/>
    <x v="1"/>
    <n v="65"/>
    <x v="2"/>
    <x v="0"/>
    <x v="0"/>
    <x v="0"/>
    <x v="1"/>
    <s v="SKU4217"/>
    <x v="0"/>
    <s v="M"/>
    <n v="1"/>
    <s v="INR"/>
    <n v="1966"/>
    <s v="Kolkata"/>
    <x v="3"/>
    <s v="700001"/>
    <s v="India"/>
    <s v="Yes"/>
  </r>
  <r>
    <n v="187"/>
    <s v="777-7499531-1066602"/>
    <n v="754105"/>
    <x v="0"/>
    <n v="42"/>
    <x v="0"/>
    <x v="0"/>
    <x v="0"/>
    <x v="0"/>
    <x v="2"/>
    <s v="SKU7252"/>
    <x v="0"/>
    <s v="M"/>
    <n v="1"/>
    <s v="INR"/>
    <n v="1986"/>
    <s v="Gurugram"/>
    <x v="1"/>
    <s v="122001"/>
    <s v="India"/>
    <s v="Yes"/>
  </r>
  <r>
    <n v="188"/>
    <s v="907-1043883-9931013"/>
    <n v="983636"/>
    <x v="1"/>
    <n v="28"/>
    <x v="1"/>
    <x v="0"/>
    <x v="0"/>
    <x v="0"/>
    <x v="1"/>
    <s v="SKU3117"/>
    <x v="0"/>
    <s v="XL"/>
    <n v="1"/>
    <s v="INR"/>
    <n v="539"/>
    <s v="Kolkata"/>
    <x v="3"/>
    <s v="700001"/>
    <s v="India"/>
    <s v="Yes"/>
  </r>
  <r>
    <n v="189"/>
    <s v="353-7048584-1057336"/>
    <n v="458684"/>
    <x v="0"/>
    <n v="63"/>
    <x v="2"/>
    <x v="0"/>
    <x v="0"/>
    <x v="0"/>
    <x v="1"/>
    <s v="SKU8813"/>
    <x v="1"/>
    <s v="L"/>
    <n v="1"/>
    <s v="INR"/>
    <n v="1743"/>
    <s v="Bengaluru"/>
    <x v="2"/>
    <s v="560001"/>
    <s v="India"/>
    <s v="No"/>
  </r>
  <r>
    <n v="190"/>
    <s v="916-4003239-4691780"/>
    <n v="887704"/>
    <x v="1"/>
    <n v="55"/>
    <x v="2"/>
    <x v="0"/>
    <x v="0"/>
    <x v="0"/>
    <x v="2"/>
    <s v="SKU5287"/>
    <x v="1"/>
    <s v="XXL"/>
    <n v="1"/>
    <s v="INR"/>
    <n v="1904"/>
    <s v="Gurugram"/>
    <x v="1"/>
    <s v="122001"/>
    <s v="India"/>
    <s v="Yes"/>
  </r>
  <r>
    <n v="191"/>
    <s v="488-3960518-5567696"/>
    <n v="185026"/>
    <x v="0"/>
    <n v="67"/>
    <x v="2"/>
    <x v="0"/>
    <x v="0"/>
    <x v="0"/>
    <x v="0"/>
    <s v="SKU8233"/>
    <x v="1"/>
    <s v="L"/>
    <n v="1"/>
    <s v="INR"/>
    <n v="1272"/>
    <s v="Gurugram"/>
    <x v="1"/>
    <s v="122001"/>
    <s v="India"/>
    <s v="Yes"/>
  </r>
  <r>
    <n v="192"/>
    <s v="626-9344466-8917262"/>
    <n v="419846"/>
    <x v="1"/>
    <n v="23"/>
    <x v="1"/>
    <x v="0"/>
    <x v="0"/>
    <x v="0"/>
    <x v="2"/>
    <s v="SKU7104"/>
    <x v="0"/>
    <s v="M"/>
    <n v="1"/>
    <s v="INR"/>
    <n v="1664"/>
    <s v="Gurugram"/>
    <x v="1"/>
    <s v="122001"/>
    <s v="India"/>
    <s v="No"/>
  </r>
  <r>
    <n v="193"/>
    <s v="501-4738757-3047199"/>
    <n v="432549"/>
    <x v="0"/>
    <n v="44"/>
    <x v="0"/>
    <x v="0"/>
    <x v="0"/>
    <x v="0"/>
    <x v="1"/>
    <s v="SKU5331"/>
    <x v="2"/>
    <s v="XL"/>
    <n v="1"/>
    <s v="INR"/>
    <n v="1989"/>
    <s v="Kolkata"/>
    <x v="3"/>
    <s v="700001"/>
    <s v="India"/>
    <s v="Yes"/>
  </r>
  <r>
    <n v="194"/>
    <s v="411-5451414-9818680"/>
    <n v="631088"/>
    <x v="1"/>
    <n v="41"/>
    <x v="0"/>
    <x v="0"/>
    <x v="0"/>
    <x v="0"/>
    <x v="0"/>
    <s v="SKU6789"/>
    <x v="2"/>
    <s v="S"/>
    <n v="1"/>
    <s v="INR"/>
    <n v="375"/>
    <s v="Mohali"/>
    <x v="0"/>
    <s v="160055"/>
    <s v="India"/>
    <s v="No"/>
  </r>
  <r>
    <n v="195"/>
    <s v="580-8232408-3413024"/>
    <n v="626577"/>
    <x v="0"/>
    <n v="24"/>
    <x v="1"/>
    <x v="0"/>
    <x v="0"/>
    <x v="0"/>
    <x v="0"/>
    <s v="SKU3356"/>
    <x v="1"/>
    <s v="XXL"/>
    <n v="1"/>
    <s v="INR"/>
    <n v="1897"/>
    <s v="Kolkata"/>
    <x v="3"/>
    <s v="700001"/>
    <s v="India"/>
    <s v="Yes"/>
  </r>
  <r>
    <n v="196"/>
    <s v="368-5693396-5326274"/>
    <n v="782482"/>
    <x v="1"/>
    <n v="56"/>
    <x v="2"/>
    <x v="0"/>
    <x v="0"/>
    <x v="0"/>
    <x v="0"/>
    <s v="SKU2478"/>
    <x v="1"/>
    <s v="M"/>
    <n v="1"/>
    <s v="INR"/>
    <n v="1638"/>
    <s v="Gurugram"/>
    <x v="1"/>
    <s v="122001"/>
    <s v="India"/>
    <s v="No"/>
  </r>
  <r>
    <n v="197"/>
    <s v="866-6267029-2745929"/>
    <n v="271057"/>
    <x v="0"/>
    <n v="30"/>
    <x v="0"/>
    <x v="0"/>
    <x v="0"/>
    <x v="0"/>
    <x v="3"/>
    <s v="SKU3227"/>
    <x v="0"/>
    <s v="XXL"/>
    <n v="1"/>
    <s v="INR"/>
    <n v="723"/>
    <s v="Kolkata"/>
    <x v="3"/>
    <s v="700001"/>
    <s v="India"/>
    <s v="Yes"/>
  </r>
  <r>
    <n v="198"/>
    <s v="719-5285064-9891828"/>
    <n v="191548"/>
    <x v="1"/>
    <n v="52"/>
    <x v="2"/>
    <x v="0"/>
    <x v="0"/>
    <x v="0"/>
    <x v="3"/>
    <s v="SKU3345"/>
    <x v="0"/>
    <s v="XL"/>
    <n v="1"/>
    <s v="INR"/>
    <n v="1138"/>
    <s v="Kolkata"/>
    <x v="3"/>
    <s v="700001"/>
    <s v="India"/>
    <s v="Yes"/>
  </r>
  <r>
    <n v="199"/>
    <s v="609-6888901-5830450"/>
    <n v="538205"/>
    <x v="0"/>
    <n v="68"/>
    <x v="2"/>
    <x v="0"/>
    <x v="0"/>
    <x v="0"/>
    <x v="0"/>
    <s v="SKU9581"/>
    <x v="1"/>
    <s v="XXL"/>
    <n v="1"/>
    <s v="INR"/>
    <n v="1588"/>
    <s v="Bengaluru"/>
    <x v="2"/>
    <s v="560001"/>
    <s v="India"/>
    <s v="No"/>
  </r>
  <r>
    <n v="200"/>
    <s v="932-9211802-1642965"/>
    <n v="743849"/>
    <x v="1"/>
    <n v="30"/>
    <x v="0"/>
    <x v="0"/>
    <x v="0"/>
    <x v="0"/>
    <x v="0"/>
    <s v="SKU5804"/>
    <x v="1"/>
    <s v="XL"/>
    <n v="1"/>
    <s v="INR"/>
    <n v="1184"/>
    <s v="Gurugram"/>
    <x v="1"/>
    <s v="122001"/>
    <s v="India"/>
    <s v="Yes"/>
  </r>
  <r>
    <n v="201"/>
    <s v="666-6861336-4832745"/>
    <n v="882717"/>
    <x v="0"/>
    <n v="20"/>
    <x v="1"/>
    <x v="0"/>
    <x v="0"/>
    <x v="0"/>
    <x v="1"/>
    <s v="SKU7137"/>
    <x v="1"/>
    <s v="S"/>
    <n v="1"/>
    <s v="INR"/>
    <n v="1082"/>
    <s v="Mohali"/>
    <x v="0"/>
    <s v="160055"/>
    <s v="India"/>
    <s v="No"/>
  </r>
  <r>
    <n v="202"/>
    <s v="403-9232820-7060820"/>
    <n v="504967"/>
    <x v="1"/>
    <n v="62"/>
    <x v="2"/>
    <x v="0"/>
    <x v="0"/>
    <x v="0"/>
    <x v="0"/>
    <s v="SKU6397"/>
    <x v="2"/>
    <s v="XXL"/>
    <n v="1"/>
    <s v="INR"/>
    <n v="863"/>
    <s v="Kolkata"/>
    <x v="3"/>
    <s v="700001"/>
    <s v="India"/>
    <s v="Yes"/>
  </r>
  <r>
    <n v="203"/>
    <s v="259-7954289-5078545"/>
    <n v="245204"/>
    <x v="0"/>
    <n v="47"/>
    <x v="0"/>
    <x v="0"/>
    <x v="0"/>
    <x v="0"/>
    <x v="0"/>
    <s v="SKU6251"/>
    <x v="2"/>
    <s v="L"/>
    <n v="1"/>
    <s v="INR"/>
    <n v="387"/>
    <s v="Gurugram"/>
    <x v="1"/>
    <s v="122001"/>
    <s v="India"/>
    <s v="Yes"/>
  </r>
  <r>
    <n v="204"/>
    <s v="811-6066889-3893058"/>
    <n v="152996"/>
    <x v="1"/>
    <n v="25"/>
    <x v="1"/>
    <x v="0"/>
    <x v="0"/>
    <x v="0"/>
    <x v="1"/>
    <s v="SKU4114"/>
    <x v="1"/>
    <s v="L"/>
    <n v="1"/>
    <s v="INR"/>
    <n v="1602"/>
    <s v="Gurugram"/>
    <x v="1"/>
    <s v="122001"/>
    <s v="India"/>
    <s v="No"/>
  </r>
  <r>
    <n v="205"/>
    <s v="891-7186332-1484498"/>
    <n v="659648"/>
    <x v="0"/>
    <n v="25"/>
    <x v="1"/>
    <x v="0"/>
    <x v="0"/>
    <x v="0"/>
    <x v="2"/>
    <s v="SKU5584"/>
    <x v="0"/>
    <s v="XXL"/>
    <n v="1"/>
    <s v="INR"/>
    <n v="1495"/>
    <s v="Mohali"/>
    <x v="0"/>
    <s v="160055"/>
    <s v="India"/>
    <s v="Yes"/>
  </r>
  <r>
    <n v="206"/>
    <s v="706-9013033-7805850"/>
    <n v="496634"/>
    <x v="1"/>
    <n v="57"/>
    <x v="2"/>
    <x v="0"/>
    <x v="0"/>
    <x v="0"/>
    <x v="3"/>
    <s v="SKU1881"/>
    <x v="1"/>
    <s v="XXL"/>
    <n v="1"/>
    <s v="INR"/>
    <n v="349"/>
    <s v="Bengaluru"/>
    <x v="2"/>
    <s v="560001"/>
    <s v="India"/>
    <s v="No"/>
  </r>
  <r>
    <n v="207"/>
    <s v="357-2665953-3085445"/>
    <n v="932966"/>
    <x v="0"/>
    <n v="64"/>
    <x v="2"/>
    <x v="0"/>
    <x v="0"/>
    <x v="0"/>
    <x v="0"/>
    <s v="SKU2102"/>
    <x v="1"/>
    <s v="S"/>
    <n v="1"/>
    <s v="INR"/>
    <n v="1946"/>
    <s v="Kolkata"/>
    <x v="3"/>
    <s v="700001"/>
    <s v="India"/>
    <s v="Yes"/>
  </r>
  <r>
    <n v="208"/>
    <s v="281-7491955-1976606"/>
    <n v="527233"/>
    <x v="1"/>
    <n v="44"/>
    <x v="0"/>
    <x v="0"/>
    <x v="0"/>
    <x v="0"/>
    <x v="2"/>
    <s v="SKU3831"/>
    <x v="2"/>
    <s v="S"/>
    <n v="1"/>
    <s v="INR"/>
    <n v="893"/>
    <s v="Mohali"/>
    <x v="0"/>
    <s v="160055"/>
    <s v="India"/>
    <s v="No"/>
  </r>
  <r>
    <n v="209"/>
    <s v="729-9431438-5508366"/>
    <n v="769836"/>
    <x v="0"/>
    <n v="38"/>
    <x v="0"/>
    <x v="0"/>
    <x v="0"/>
    <x v="0"/>
    <x v="1"/>
    <s v="SKU9919"/>
    <x v="0"/>
    <s v="XL"/>
    <n v="1"/>
    <s v="INR"/>
    <n v="574"/>
    <s v="Bengaluru"/>
    <x v="2"/>
    <s v="560001"/>
    <s v="India"/>
    <s v="No"/>
  </r>
  <r>
    <n v="210"/>
    <s v="306-1966653-4376840"/>
    <n v="196347"/>
    <x v="1"/>
    <n v="48"/>
    <x v="0"/>
    <x v="0"/>
    <x v="0"/>
    <x v="0"/>
    <x v="1"/>
    <s v="SKU6108"/>
    <x v="1"/>
    <s v="M"/>
    <n v="1"/>
    <s v="INR"/>
    <n v="1776"/>
    <s v="Kolkata"/>
    <x v="3"/>
    <s v="700001"/>
    <s v="India"/>
    <s v="No"/>
  </r>
  <r>
    <n v="211"/>
    <s v="527-3398966-3462078"/>
    <n v="221899"/>
    <x v="0"/>
    <n v="29"/>
    <x v="1"/>
    <x v="0"/>
    <x v="0"/>
    <x v="0"/>
    <x v="1"/>
    <s v="SKU7886"/>
    <x v="2"/>
    <s v="XL"/>
    <n v="1"/>
    <s v="INR"/>
    <n v="1755"/>
    <s v="Kolkata"/>
    <x v="3"/>
    <s v="700001"/>
    <s v="India"/>
    <s v="Yes"/>
  </r>
  <r>
    <n v="212"/>
    <s v="686-9377511-7001144"/>
    <n v="739854"/>
    <x v="1"/>
    <n v="42"/>
    <x v="0"/>
    <x v="0"/>
    <x v="0"/>
    <x v="0"/>
    <x v="2"/>
    <s v="SKU8390"/>
    <x v="0"/>
    <s v="S"/>
    <n v="1"/>
    <s v="INR"/>
    <n v="1049"/>
    <s v="Kolkata"/>
    <x v="3"/>
    <s v="700001"/>
    <s v="India"/>
    <s v="Yes"/>
  </r>
  <r>
    <n v="213"/>
    <s v="651-8067878-3005211"/>
    <n v="586484"/>
    <x v="0"/>
    <n v="64"/>
    <x v="2"/>
    <x v="0"/>
    <x v="0"/>
    <x v="0"/>
    <x v="0"/>
    <s v="SKU4946"/>
    <x v="1"/>
    <s v="L"/>
    <n v="1"/>
    <s v="INR"/>
    <n v="726"/>
    <s v="Gurugram"/>
    <x v="1"/>
    <s v="122001"/>
    <s v="India"/>
    <s v="Yes"/>
  </r>
  <r>
    <n v="214"/>
    <s v="241-1531337-5931920"/>
    <n v="617184"/>
    <x v="1"/>
    <n v="36"/>
    <x v="0"/>
    <x v="0"/>
    <x v="0"/>
    <x v="0"/>
    <x v="1"/>
    <s v="SKU2655"/>
    <x v="2"/>
    <s v="XL"/>
    <n v="1"/>
    <s v="INR"/>
    <n v="373"/>
    <s v="Mohali"/>
    <x v="0"/>
    <s v="160055"/>
    <s v="India"/>
    <s v="No"/>
  </r>
  <r>
    <n v="215"/>
    <s v="109-8069607-9403887"/>
    <n v="387599"/>
    <x v="0"/>
    <n v="31"/>
    <x v="0"/>
    <x v="0"/>
    <x v="0"/>
    <x v="0"/>
    <x v="3"/>
    <s v="SKU1377"/>
    <x v="1"/>
    <s v="L"/>
    <n v="1"/>
    <s v="INR"/>
    <n v="1568"/>
    <s v="Bengaluru"/>
    <x v="2"/>
    <s v="560001"/>
    <s v="India"/>
    <s v="Yes"/>
  </r>
  <r>
    <n v="216"/>
    <s v="820-7051630-4218614"/>
    <n v="847329"/>
    <x v="1"/>
    <n v="30"/>
    <x v="0"/>
    <x v="0"/>
    <x v="0"/>
    <x v="0"/>
    <x v="3"/>
    <s v="SKU6976"/>
    <x v="2"/>
    <s v="S"/>
    <n v="1"/>
    <s v="INR"/>
    <n v="1701"/>
    <s v="Bengaluru"/>
    <x v="2"/>
    <s v="560001"/>
    <s v="India"/>
    <s v="Yes"/>
  </r>
  <r>
    <n v="217"/>
    <s v="955-2097449-9736521"/>
    <n v="610098"/>
    <x v="0"/>
    <n v="19"/>
    <x v="1"/>
    <x v="0"/>
    <x v="0"/>
    <x v="0"/>
    <x v="0"/>
    <s v="SKU2292"/>
    <x v="1"/>
    <s v="M"/>
    <n v="1"/>
    <s v="INR"/>
    <n v="1860"/>
    <s v="Bengaluru"/>
    <x v="2"/>
    <s v="560001"/>
    <s v="India"/>
    <s v="Yes"/>
  </r>
  <r>
    <n v="218"/>
    <s v="226-7578898-1138764"/>
    <n v="495340"/>
    <x v="1"/>
    <n v="63"/>
    <x v="2"/>
    <x v="0"/>
    <x v="0"/>
    <x v="0"/>
    <x v="0"/>
    <s v="SKU9860"/>
    <x v="2"/>
    <s v="M"/>
    <n v="1"/>
    <s v="INR"/>
    <n v="1151"/>
    <s v="Kolkata"/>
    <x v="3"/>
    <s v="700001"/>
    <s v="India"/>
    <s v="No"/>
  </r>
  <r>
    <n v="219"/>
    <s v="606-9311136-9938985"/>
    <n v="800083"/>
    <x v="0"/>
    <n v="27"/>
    <x v="1"/>
    <x v="0"/>
    <x v="0"/>
    <x v="0"/>
    <x v="2"/>
    <s v="SKU5446"/>
    <x v="2"/>
    <s v="XXL"/>
    <n v="1"/>
    <s v="INR"/>
    <n v="708"/>
    <s v="Bengaluru"/>
    <x v="2"/>
    <s v="560001"/>
    <s v="India"/>
    <s v="No"/>
  </r>
  <r>
    <n v="220"/>
    <s v="470-4181392-1788912"/>
    <n v="813992"/>
    <x v="1"/>
    <n v="24"/>
    <x v="1"/>
    <x v="0"/>
    <x v="0"/>
    <x v="0"/>
    <x v="3"/>
    <s v="SKU5837"/>
    <x v="1"/>
    <s v="S"/>
    <n v="1"/>
    <s v="INR"/>
    <n v="962"/>
    <s v="Mohali"/>
    <x v="0"/>
    <s v="160055"/>
    <s v="India"/>
    <s v="Yes"/>
  </r>
  <r>
    <n v="221"/>
    <s v="394-3994713-2648040"/>
    <n v="356986"/>
    <x v="0"/>
    <n v="63"/>
    <x v="2"/>
    <x v="0"/>
    <x v="0"/>
    <x v="0"/>
    <x v="3"/>
    <s v="SKU4342"/>
    <x v="2"/>
    <s v="S"/>
    <n v="1"/>
    <s v="INR"/>
    <n v="935"/>
    <s v="Kolkata"/>
    <x v="3"/>
    <s v="700001"/>
    <s v="India"/>
    <s v="Yes"/>
  </r>
  <r>
    <n v="222"/>
    <s v="531-4189312-5178301"/>
    <n v="193267"/>
    <x v="1"/>
    <n v="47"/>
    <x v="0"/>
    <x v="0"/>
    <x v="0"/>
    <x v="0"/>
    <x v="2"/>
    <s v="SKU5865"/>
    <x v="2"/>
    <s v="M"/>
    <n v="1"/>
    <s v="INR"/>
    <n v="532"/>
    <s v="Kolkata"/>
    <x v="3"/>
    <s v="700001"/>
    <s v="India"/>
    <s v="No"/>
  </r>
  <r>
    <n v="223"/>
    <s v="102-6564848-8000111"/>
    <n v="484442"/>
    <x v="0"/>
    <n v="52"/>
    <x v="2"/>
    <x v="0"/>
    <x v="0"/>
    <x v="0"/>
    <x v="2"/>
    <s v="SKU2879"/>
    <x v="2"/>
    <s v="L"/>
    <n v="1"/>
    <s v="INR"/>
    <n v="1844"/>
    <s v="Bengaluru"/>
    <x v="2"/>
    <s v="560001"/>
    <s v="India"/>
    <s v="Yes"/>
  </r>
  <r>
    <n v="224"/>
    <s v="281-1657542-1948515"/>
    <n v="188709"/>
    <x v="1"/>
    <n v="51"/>
    <x v="2"/>
    <x v="0"/>
    <x v="0"/>
    <x v="0"/>
    <x v="3"/>
    <s v="SKU5422"/>
    <x v="0"/>
    <s v="XL"/>
    <n v="1"/>
    <s v="INR"/>
    <n v="728"/>
    <s v="Bengaluru"/>
    <x v="2"/>
    <s v="560001"/>
    <s v="India"/>
    <s v="No"/>
  </r>
  <r>
    <n v="225"/>
    <s v="659-3148993-1490120"/>
    <n v="718271"/>
    <x v="0"/>
    <n v="63"/>
    <x v="2"/>
    <x v="0"/>
    <x v="0"/>
    <x v="0"/>
    <x v="0"/>
    <s v="SKU2735"/>
    <x v="1"/>
    <s v="S"/>
    <n v="1"/>
    <s v="INR"/>
    <n v="337"/>
    <s v="Bengaluru"/>
    <x v="2"/>
    <s v="560001"/>
    <s v="India"/>
    <s v="No"/>
  </r>
  <r>
    <n v="226"/>
    <s v="663-5462154-3402145"/>
    <n v="843212"/>
    <x v="1"/>
    <n v="46"/>
    <x v="0"/>
    <x v="0"/>
    <x v="0"/>
    <x v="0"/>
    <x v="0"/>
    <s v="SKU4424"/>
    <x v="1"/>
    <s v="XL"/>
    <n v="1"/>
    <s v="INR"/>
    <n v="1183"/>
    <s v="Kolkata"/>
    <x v="3"/>
    <s v="700001"/>
    <s v="India"/>
    <s v="No"/>
  </r>
  <r>
    <n v="227"/>
    <s v="451-9996842-2185878"/>
    <n v="380338"/>
    <x v="0"/>
    <n v="24"/>
    <x v="1"/>
    <x v="0"/>
    <x v="0"/>
    <x v="0"/>
    <x v="1"/>
    <s v="SKU9551"/>
    <x v="2"/>
    <s v="L"/>
    <n v="1"/>
    <s v="INR"/>
    <n v="953"/>
    <s v="Gurugram"/>
    <x v="1"/>
    <s v="122001"/>
    <s v="India"/>
    <s v="Yes"/>
  </r>
  <r>
    <n v="228"/>
    <s v="627-7666106-8916516"/>
    <n v="185554"/>
    <x v="1"/>
    <n v="37"/>
    <x v="0"/>
    <x v="0"/>
    <x v="0"/>
    <x v="0"/>
    <x v="1"/>
    <s v="SKU4340"/>
    <x v="0"/>
    <s v="S"/>
    <n v="1"/>
    <s v="INR"/>
    <n v="1561"/>
    <s v="Mohali"/>
    <x v="0"/>
    <s v="160055"/>
    <s v="India"/>
    <s v="No"/>
  </r>
  <r>
    <n v="229"/>
    <s v="738-2636252-2119381"/>
    <n v="217579"/>
    <x v="0"/>
    <n v="53"/>
    <x v="2"/>
    <x v="0"/>
    <x v="0"/>
    <x v="0"/>
    <x v="3"/>
    <s v="SKU9559"/>
    <x v="1"/>
    <s v="M"/>
    <n v="1"/>
    <s v="INR"/>
    <n v="867"/>
    <s v="Gurugram"/>
    <x v="1"/>
    <s v="122001"/>
    <s v="India"/>
    <s v="Yes"/>
  </r>
  <r>
    <n v="230"/>
    <s v="192-9282905-5903374"/>
    <n v="166367"/>
    <x v="1"/>
    <n v="25"/>
    <x v="1"/>
    <x v="0"/>
    <x v="0"/>
    <x v="0"/>
    <x v="1"/>
    <s v="SKU2119"/>
    <x v="1"/>
    <s v="M"/>
    <n v="1"/>
    <s v="INR"/>
    <n v="553"/>
    <s v="Mohali"/>
    <x v="0"/>
    <s v="160055"/>
    <s v="India"/>
    <s v="No"/>
  </r>
  <r>
    <n v="231"/>
    <s v="906-3496992-3804651"/>
    <n v="130400"/>
    <x v="0"/>
    <n v="43"/>
    <x v="0"/>
    <x v="0"/>
    <x v="0"/>
    <x v="0"/>
    <x v="3"/>
    <s v="SKU7421"/>
    <x v="2"/>
    <s v="L"/>
    <n v="1"/>
    <s v="INR"/>
    <n v="1989"/>
    <s v="Kolkata"/>
    <x v="3"/>
    <s v="700001"/>
    <s v="India"/>
    <s v="No"/>
  </r>
  <r>
    <n v="232"/>
    <s v="898-2588100-5499095"/>
    <n v="125934"/>
    <x v="1"/>
    <n v="45"/>
    <x v="0"/>
    <x v="0"/>
    <x v="0"/>
    <x v="0"/>
    <x v="3"/>
    <s v="SKU8453"/>
    <x v="0"/>
    <s v="XXL"/>
    <n v="1"/>
    <s v="INR"/>
    <n v="1253"/>
    <s v="Mohali"/>
    <x v="0"/>
    <s v="160055"/>
    <s v="India"/>
    <s v="No"/>
  </r>
  <r>
    <n v="233"/>
    <s v="622-6274856-4946627"/>
    <n v="878833"/>
    <x v="0"/>
    <n v="48"/>
    <x v="0"/>
    <x v="0"/>
    <x v="0"/>
    <x v="0"/>
    <x v="2"/>
    <s v="SKU7423"/>
    <x v="2"/>
    <s v="XL"/>
    <n v="1"/>
    <s v="INR"/>
    <n v="543"/>
    <s v="Bengaluru"/>
    <x v="2"/>
    <s v="560001"/>
    <s v="India"/>
    <s v="No"/>
  </r>
  <r>
    <n v="234"/>
    <s v="146-3512278-5526256"/>
    <n v="710595"/>
    <x v="1"/>
    <n v="58"/>
    <x v="2"/>
    <x v="0"/>
    <x v="0"/>
    <x v="0"/>
    <x v="2"/>
    <s v="SKU3491"/>
    <x v="2"/>
    <s v="M"/>
    <n v="1"/>
    <s v="INR"/>
    <n v="1991"/>
    <s v="Mohali"/>
    <x v="0"/>
    <s v="160055"/>
    <s v="India"/>
    <s v="No"/>
  </r>
  <r>
    <n v="235"/>
    <s v="505-9394986-1151770"/>
    <n v="197398"/>
    <x v="0"/>
    <n v="55"/>
    <x v="2"/>
    <x v="0"/>
    <x v="0"/>
    <x v="0"/>
    <x v="3"/>
    <s v="SKU9528"/>
    <x v="2"/>
    <s v="L"/>
    <n v="1"/>
    <s v="INR"/>
    <n v="719"/>
    <s v="Gurugram"/>
    <x v="1"/>
    <s v="122001"/>
    <s v="India"/>
    <s v="Yes"/>
  </r>
  <r>
    <n v="236"/>
    <s v="370-6207081-9605847"/>
    <n v="522601"/>
    <x v="1"/>
    <n v="58"/>
    <x v="2"/>
    <x v="0"/>
    <x v="0"/>
    <x v="0"/>
    <x v="0"/>
    <s v="SKU4838"/>
    <x v="2"/>
    <s v="L"/>
    <n v="1"/>
    <s v="INR"/>
    <n v="1253"/>
    <s v="Kolkata"/>
    <x v="3"/>
    <s v="700001"/>
    <s v="India"/>
    <s v="Yes"/>
  </r>
  <r>
    <n v="237"/>
    <s v="677-6269720-3779604"/>
    <n v="885903"/>
    <x v="0"/>
    <n v="62"/>
    <x v="2"/>
    <x v="0"/>
    <x v="0"/>
    <x v="0"/>
    <x v="3"/>
    <s v="SKU4126"/>
    <x v="1"/>
    <s v="M"/>
    <n v="1"/>
    <s v="INR"/>
    <n v="1681"/>
    <s v="Kolkata"/>
    <x v="3"/>
    <s v="700001"/>
    <s v="India"/>
    <s v="Yes"/>
  </r>
  <r>
    <n v="238"/>
    <s v="874-4526422-5042972"/>
    <n v="387183"/>
    <x v="1"/>
    <n v="47"/>
    <x v="0"/>
    <x v="0"/>
    <x v="0"/>
    <x v="0"/>
    <x v="1"/>
    <s v="SKU7418"/>
    <x v="0"/>
    <s v="XXL"/>
    <n v="1"/>
    <s v="INR"/>
    <n v="1424"/>
    <s v="Mohali"/>
    <x v="0"/>
    <s v="160055"/>
    <s v="India"/>
    <s v="Yes"/>
  </r>
  <r>
    <n v="239"/>
    <s v="941-3261774-7471295"/>
    <n v="737847"/>
    <x v="0"/>
    <n v="44"/>
    <x v="0"/>
    <x v="0"/>
    <x v="0"/>
    <x v="0"/>
    <x v="2"/>
    <s v="SKU6301"/>
    <x v="2"/>
    <s v="L"/>
    <n v="1"/>
    <s v="INR"/>
    <n v="1331"/>
    <s v="Mohali"/>
    <x v="0"/>
    <s v="160055"/>
    <s v="India"/>
    <s v="No"/>
  </r>
  <r>
    <n v="240"/>
    <s v="781-1603776-5322444"/>
    <n v="342868"/>
    <x v="1"/>
    <n v="60"/>
    <x v="2"/>
    <x v="0"/>
    <x v="0"/>
    <x v="0"/>
    <x v="1"/>
    <s v="SKU3599"/>
    <x v="0"/>
    <s v="XXL"/>
    <n v="1"/>
    <s v="INR"/>
    <n v="1147"/>
    <s v="Mohali"/>
    <x v="0"/>
    <s v="160055"/>
    <s v="India"/>
    <s v="No"/>
  </r>
  <r>
    <n v="241"/>
    <s v="954-8436874-6760634"/>
    <n v="442379"/>
    <x v="0"/>
    <n v="29"/>
    <x v="1"/>
    <x v="0"/>
    <x v="0"/>
    <x v="0"/>
    <x v="3"/>
    <s v="SKU9329"/>
    <x v="0"/>
    <s v="L"/>
    <n v="1"/>
    <s v="INR"/>
    <n v="1247"/>
    <s v="Kolkata"/>
    <x v="3"/>
    <s v="700001"/>
    <s v="India"/>
    <s v="No"/>
  </r>
  <r>
    <n v="242"/>
    <s v="318-1843236-4380778"/>
    <n v="421550"/>
    <x v="1"/>
    <n v="64"/>
    <x v="2"/>
    <x v="0"/>
    <x v="0"/>
    <x v="0"/>
    <x v="0"/>
    <s v="SKU1260"/>
    <x v="1"/>
    <s v="M"/>
    <n v="1"/>
    <s v="INR"/>
    <n v="516"/>
    <s v="Gurugram"/>
    <x v="1"/>
    <s v="122001"/>
    <s v="India"/>
    <s v="Yes"/>
  </r>
  <r>
    <n v="243"/>
    <s v="464-8314317-9247367"/>
    <n v="919271"/>
    <x v="0"/>
    <n v="51"/>
    <x v="2"/>
    <x v="0"/>
    <x v="0"/>
    <x v="0"/>
    <x v="1"/>
    <s v="SKU2764"/>
    <x v="2"/>
    <s v="L"/>
    <n v="1"/>
    <s v="INR"/>
    <n v="814"/>
    <s v="Mohali"/>
    <x v="0"/>
    <s v="160055"/>
    <s v="India"/>
    <s v="No"/>
  </r>
  <r>
    <n v="244"/>
    <s v="399-6332888-8840524"/>
    <n v="630266"/>
    <x v="1"/>
    <n v="42"/>
    <x v="0"/>
    <x v="0"/>
    <x v="0"/>
    <x v="0"/>
    <x v="0"/>
    <s v="SKU8730"/>
    <x v="0"/>
    <s v="S"/>
    <n v="1"/>
    <s v="INR"/>
    <n v="968"/>
    <s v="Kolkata"/>
    <x v="3"/>
    <s v="700001"/>
    <s v="India"/>
    <s v="No"/>
  </r>
  <r>
    <n v="245"/>
    <s v="130-7344152-4965535"/>
    <n v="707237"/>
    <x v="0"/>
    <n v="33"/>
    <x v="0"/>
    <x v="0"/>
    <x v="0"/>
    <x v="0"/>
    <x v="0"/>
    <s v="SKU3180"/>
    <x v="2"/>
    <s v="XXL"/>
    <n v="1"/>
    <s v="INR"/>
    <n v="1946"/>
    <s v="Bengaluru"/>
    <x v="2"/>
    <s v="560001"/>
    <s v="India"/>
    <s v="Yes"/>
  </r>
  <r>
    <n v="246"/>
    <s v="601-7038366-4492736"/>
    <n v="713296"/>
    <x v="1"/>
    <n v="63"/>
    <x v="2"/>
    <x v="0"/>
    <x v="0"/>
    <x v="0"/>
    <x v="0"/>
    <s v="SKU7476"/>
    <x v="1"/>
    <s v="XXL"/>
    <n v="1"/>
    <s v="INR"/>
    <n v="1986"/>
    <s v="Mohali"/>
    <x v="0"/>
    <s v="160055"/>
    <s v="India"/>
    <s v="Yes"/>
  </r>
  <r>
    <n v="247"/>
    <s v="791-7648396-3458975"/>
    <n v="905894"/>
    <x v="0"/>
    <n v="26"/>
    <x v="1"/>
    <x v="0"/>
    <x v="0"/>
    <x v="0"/>
    <x v="0"/>
    <s v="SKU6471"/>
    <x v="1"/>
    <s v="M"/>
    <n v="1"/>
    <s v="INR"/>
    <n v="1825"/>
    <s v="Bengaluru"/>
    <x v="2"/>
    <s v="560001"/>
    <s v="India"/>
    <s v="No"/>
  </r>
  <r>
    <n v="248"/>
    <s v="193-7411172-1453152"/>
    <n v="882260"/>
    <x v="1"/>
    <n v="70"/>
    <x v="2"/>
    <x v="0"/>
    <x v="0"/>
    <x v="0"/>
    <x v="3"/>
    <s v="SKU8911"/>
    <x v="2"/>
    <s v="XL"/>
    <n v="1"/>
    <s v="INR"/>
    <n v="569"/>
    <s v="Mohali"/>
    <x v="0"/>
    <s v="160055"/>
    <s v="India"/>
    <s v="Yes"/>
  </r>
  <r>
    <n v="249"/>
    <s v="426-4113803-7103712"/>
    <n v="536920"/>
    <x v="0"/>
    <n v="27"/>
    <x v="1"/>
    <x v="0"/>
    <x v="0"/>
    <x v="0"/>
    <x v="1"/>
    <s v="SKU7749"/>
    <x v="1"/>
    <s v="L"/>
    <n v="1"/>
    <s v="INR"/>
    <n v="1388"/>
    <s v="Mohali"/>
    <x v="0"/>
    <s v="160055"/>
    <s v="India"/>
    <s v="No"/>
  </r>
  <r>
    <n v="250"/>
    <s v="419-6570164-4745467"/>
    <n v="101420"/>
    <x v="1"/>
    <n v="51"/>
    <x v="2"/>
    <x v="0"/>
    <x v="0"/>
    <x v="0"/>
    <x v="0"/>
    <s v="SKU6028"/>
    <x v="0"/>
    <s v="S"/>
    <n v="1"/>
    <s v="INR"/>
    <n v="378"/>
    <s v="Mohali"/>
    <x v="0"/>
    <s v="160055"/>
    <s v="India"/>
    <s v="Yes"/>
  </r>
  <r>
    <n v="251"/>
    <s v="587-6881468-4142181"/>
    <n v="584802"/>
    <x v="0"/>
    <n v="44"/>
    <x v="0"/>
    <x v="0"/>
    <x v="0"/>
    <x v="0"/>
    <x v="1"/>
    <s v="SKU4924"/>
    <x v="2"/>
    <s v="S"/>
    <n v="1"/>
    <s v="INR"/>
    <n v="1586"/>
    <s v="Kolkata"/>
    <x v="3"/>
    <s v="700001"/>
    <s v="India"/>
    <s v="No"/>
  </r>
  <r>
    <n v="252"/>
    <s v="256-2618483-4473276"/>
    <n v="422032"/>
    <x v="1"/>
    <n v="20"/>
    <x v="1"/>
    <x v="0"/>
    <x v="0"/>
    <x v="0"/>
    <x v="3"/>
    <s v="SKU4625"/>
    <x v="1"/>
    <s v="M"/>
    <n v="1"/>
    <s v="INR"/>
    <n v="1515"/>
    <s v="Kolkata"/>
    <x v="3"/>
    <s v="700001"/>
    <s v="India"/>
    <s v="Yes"/>
  </r>
  <r>
    <n v="253"/>
    <s v="699-9145768-3873899"/>
    <n v="953163"/>
    <x v="0"/>
    <n v="59"/>
    <x v="2"/>
    <x v="0"/>
    <x v="0"/>
    <x v="0"/>
    <x v="3"/>
    <s v="SKU2634"/>
    <x v="1"/>
    <s v="M"/>
    <n v="1"/>
    <s v="INR"/>
    <n v="678"/>
    <s v="Gurugram"/>
    <x v="1"/>
    <s v="122001"/>
    <s v="India"/>
    <s v="Yes"/>
  </r>
  <r>
    <n v="254"/>
    <s v="756-9257674-4248975"/>
    <n v="316489"/>
    <x v="1"/>
    <n v="53"/>
    <x v="2"/>
    <x v="0"/>
    <x v="0"/>
    <x v="0"/>
    <x v="2"/>
    <s v="SKU5198"/>
    <x v="2"/>
    <s v="M"/>
    <n v="1"/>
    <s v="INR"/>
    <n v="791"/>
    <s v="Kolkata"/>
    <x v="3"/>
    <s v="700001"/>
    <s v="India"/>
    <s v="Yes"/>
  </r>
  <r>
    <n v="255"/>
    <s v="208-6219113-7950662"/>
    <n v="182839"/>
    <x v="0"/>
    <n v="43"/>
    <x v="0"/>
    <x v="0"/>
    <x v="0"/>
    <x v="0"/>
    <x v="2"/>
    <s v="SKU2894"/>
    <x v="0"/>
    <s v="S"/>
    <n v="1"/>
    <s v="INR"/>
    <n v="979"/>
    <s v="Mohali"/>
    <x v="0"/>
    <s v="160055"/>
    <s v="India"/>
    <s v="No"/>
  </r>
  <r>
    <n v="256"/>
    <s v="603-3344796-6872132"/>
    <n v="702052"/>
    <x v="1"/>
    <n v="57"/>
    <x v="2"/>
    <x v="0"/>
    <x v="0"/>
    <x v="0"/>
    <x v="2"/>
    <s v="SKU3258"/>
    <x v="0"/>
    <s v="XXL"/>
    <n v="1"/>
    <s v="INR"/>
    <n v="1559"/>
    <s v="Mohali"/>
    <x v="0"/>
    <s v="160055"/>
    <s v="India"/>
    <s v="Yes"/>
  </r>
  <r>
    <n v="257"/>
    <s v="914-4692757-1483815"/>
    <n v="731248"/>
    <x v="0"/>
    <n v="37"/>
    <x v="0"/>
    <x v="0"/>
    <x v="0"/>
    <x v="0"/>
    <x v="2"/>
    <s v="SKU6716"/>
    <x v="0"/>
    <s v="XL"/>
    <n v="1"/>
    <s v="INR"/>
    <n v="808"/>
    <s v="Gurugram"/>
    <x v="1"/>
    <s v="122001"/>
    <s v="India"/>
    <s v="No"/>
  </r>
  <r>
    <n v="258"/>
    <s v="491-4982933-6195585"/>
    <n v="452342"/>
    <x v="1"/>
    <n v="28"/>
    <x v="1"/>
    <x v="0"/>
    <x v="0"/>
    <x v="0"/>
    <x v="0"/>
    <s v="SKU5412"/>
    <x v="0"/>
    <s v="L"/>
    <n v="1"/>
    <s v="INR"/>
    <n v="944"/>
    <s v="Mohali"/>
    <x v="0"/>
    <s v="160055"/>
    <s v="India"/>
    <s v="No"/>
  </r>
  <r>
    <n v="259"/>
    <s v="465-6648358-5407875"/>
    <n v="804502"/>
    <x v="0"/>
    <n v="65"/>
    <x v="2"/>
    <x v="0"/>
    <x v="0"/>
    <x v="0"/>
    <x v="3"/>
    <s v="SKU9683"/>
    <x v="2"/>
    <s v="L"/>
    <n v="1"/>
    <s v="INR"/>
    <n v="937"/>
    <s v="Kolkata"/>
    <x v="3"/>
    <s v="700001"/>
    <s v="India"/>
    <s v="No"/>
  </r>
  <r>
    <n v="260"/>
    <s v="916-4183977-5172348"/>
    <n v="764234"/>
    <x v="1"/>
    <n v="28"/>
    <x v="1"/>
    <x v="0"/>
    <x v="0"/>
    <x v="0"/>
    <x v="3"/>
    <s v="SKU6306"/>
    <x v="0"/>
    <s v="S"/>
    <n v="1"/>
    <s v="INR"/>
    <n v="1444"/>
    <s v="Gurugram"/>
    <x v="1"/>
    <s v="122001"/>
    <s v="India"/>
    <s v="No"/>
  </r>
  <r>
    <n v="261"/>
    <s v="246-4190944-3656828"/>
    <n v="541314"/>
    <x v="0"/>
    <n v="26"/>
    <x v="1"/>
    <x v="0"/>
    <x v="0"/>
    <x v="0"/>
    <x v="1"/>
    <s v="SKU7392"/>
    <x v="0"/>
    <s v="M"/>
    <n v="1"/>
    <s v="INR"/>
    <n v="1917"/>
    <s v="Mohali"/>
    <x v="0"/>
    <s v="160055"/>
    <s v="India"/>
    <s v="Yes"/>
  </r>
  <r>
    <n v="262"/>
    <s v="621-8739436-7814532"/>
    <n v="135758"/>
    <x v="1"/>
    <n v="53"/>
    <x v="2"/>
    <x v="0"/>
    <x v="0"/>
    <x v="0"/>
    <x v="0"/>
    <s v="SKU8848"/>
    <x v="0"/>
    <s v="XL"/>
    <n v="1"/>
    <s v="INR"/>
    <n v="300"/>
    <s v="Bengaluru"/>
    <x v="2"/>
    <s v="560001"/>
    <s v="India"/>
    <s v="Yes"/>
  </r>
  <r>
    <n v="263"/>
    <s v="779-8663310-2187579"/>
    <n v="423928"/>
    <x v="0"/>
    <n v="33"/>
    <x v="0"/>
    <x v="0"/>
    <x v="0"/>
    <x v="0"/>
    <x v="1"/>
    <s v="SKU5369"/>
    <x v="0"/>
    <s v="XL"/>
    <n v="1"/>
    <s v="INR"/>
    <n v="1117"/>
    <s v="Bengaluru"/>
    <x v="2"/>
    <s v="560001"/>
    <s v="India"/>
    <s v="No"/>
  </r>
  <r>
    <n v="264"/>
    <s v="204-2586380-9602552"/>
    <n v="548801"/>
    <x v="1"/>
    <n v="68"/>
    <x v="2"/>
    <x v="0"/>
    <x v="0"/>
    <x v="0"/>
    <x v="3"/>
    <s v="SKU7913"/>
    <x v="1"/>
    <s v="XL"/>
    <n v="1"/>
    <s v="INR"/>
    <n v="1962"/>
    <s v="Mohali"/>
    <x v="0"/>
    <s v="160055"/>
    <s v="India"/>
    <s v="No"/>
  </r>
  <r>
    <n v="265"/>
    <s v="766-3764798-5489492"/>
    <n v="825067"/>
    <x v="0"/>
    <n v="59"/>
    <x v="2"/>
    <x v="0"/>
    <x v="0"/>
    <x v="0"/>
    <x v="1"/>
    <s v="SKU4293"/>
    <x v="2"/>
    <s v="L"/>
    <n v="1"/>
    <s v="INR"/>
    <n v="321"/>
    <s v="Bengaluru"/>
    <x v="2"/>
    <s v="560001"/>
    <s v="India"/>
    <s v="Yes"/>
  </r>
  <r>
    <n v="266"/>
    <s v="365-6333540-7082523"/>
    <n v="301969"/>
    <x v="1"/>
    <n v="47"/>
    <x v="0"/>
    <x v="0"/>
    <x v="0"/>
    <x v="0"/>
    <x v="3"/>
    <s v="SKU1460"/>
    <x v="0"/>
    <s v="XL"/>
    <n v="1"/>
    <s v="INR"/>
    <n v="1255"/>
    <s v="Mohali"/>
    <x v="0"/>
    <s v="160055"/>
    <s v="India"/>
    <s v="Yes"/>
  </r>
  <r>
    <n v="267"/>
    <s v="163-6721968-4731300"/>
    <n v="828730"/>
    <x v="0"/>
    <n v="45"/>
    <x v="0"/>
    <x v="0"/>
    <x v="0"/>
    <x v="0"/>
    <x v="1"/>
    <s v="SKU3676"/>
    <x v="2"/>
    <s v="L"/>
    <n v="1"/>
    <s v="INR"/>
    <n v="844"/>
    <s v="Mohali"/>
    <x v="0"/>
    <s v="160055"/>
    <s v="India"/>
    <s v="No"/>
  </r>
  <r>
    <n v="268"/>
    <s v="871-6279892-2270898"/>
    <n v="833446"/>
    <x v="1"/>
    <n v="47"/>
    <x v="0"/>
    <x v="0"/>
    <x v="0"/>
    <x v="0"/>
    <x v="0"/>
    <s v="SKU7218"/>
    <x v="2"/>
    <s v="S"/>
    <n v="1"/>
    <s v="INR"/>
    <n v="1613"/>
    <s v="Gurugram"/>
    <x v="1"/>
    <s v="122001"/>
    <s v="India"/>
    <s v="Yes"/>
  </r>
  <r>
    <n v="269"/>
    <s v="309-4500521-5949104"/>
    <n v="277162"/>
    <x v="0"/>
    <n v="37"/>
    <x v="0"/>
    <x v="0"/>
    <x v="0"/>
    <x v="0"/>
    <x v="3"/>
    <s v="SKU2068"/>
    <x v="1"/>
    <s v="M"/>
    <n v="1"/>
    <s v="INR"/>
    <n v="1696"/>
    <s v="Kolkata"/>
    <x v="3"/>
    <s v="700001"/>
    <s v="India"/>
    <s v="No"/>
  </r>
  <r>
    <n v="270"/>
    <s v="722-7983744-3394691"/>
    <n v="639497"/>
    <x v="1"/>
    <n v="36"/>
    <x v="0"/>
    <x v="0"/>
    <x v="0"/>
    <x v="0"/>
    <x v="3"/>
    <s v="SKU6850"/>
    <x v="1"/>
    <s v="L"/>
    <n v="1"/>
    <s v="INR"/>
    <n v="926"/>
    <s v="Bengaluru"/>
    <x v="2"/>
    <s v="560001"/>
    <s v="India"/>
    <s v="Yes"/>
  </r>
  <r>
    <n v="271"/>
    <s v="421-2982426-7269167"/>
    <n v="990141"/>
    <x v="0"/>
    <n v="36"/>
    <x v="0"/>
    <x v="0"/>
    <x v="0"/>
    <x v="0"/>
    <x v="0"/>
    <s v="SKU4247"/>
    <x v="1"/>
    <s v="S"/>
    <n v="1"/>
    <s v="INR"/>
    <n v="1289"/>
    <s v="Gurugram"/>
    <x v="1"/>
    <s v="122001"/>
    <s v="India"/>
    <s v="No"/>
  </r>
  <r>
    <n v="272"/>
    <s v="537-9059608-6223136"/>
    <n v="251435"/>
    <x v="1"/>
    <n v="70"/>
    <x v="2"/>
    <x v="0"/>
    <x v="0"/>
    <x v="0"/>
    <x v="0"/>
    <s v="SKU4159"/>
    <x v="1"/>
    <s v="L"/>
    <n v="1"/>
    <s v="INR"/>
    <n v="1484"/>
    <s v="Kolkata"/>
    <x v="3"/>
    <s v="700001"/>
    <s v="India"/>
    <s v="No"/>
  </r>
  <r>
    <n v="273"/>
    <s v="186-7740173-9594508"/>
    <n v="960267"/>
    <x v="0"/>
    <n v="29"/>
    <x v="1"/>
    <x v="0"/>
    <x v="0"/>
    <x v="0"/>
    <x v="2"/>
    <s v="SKU5592"/>
    <x v="2"/>
    <s v="S"/>
    <n v="1"/>
    <s v="INR"/>
    <n v="1631"/>
    <s v="Mohali"/>
    <x v="0"/>
    <s v="160055"/>
    <s v="India"/>
    <s v="Yes"/>
  </r>
  <r>
    <n v="274"/>
    <s v="659-9377447-7379922"/>
    <n v="397348"/>
    <x v="1"/>
    <n v="29"/>
    <x v="1"/>
    <x v="0"/>
    <x v="0"/>
    <x v="0"/>
    <x v="2"/>
    <s v="SKU7374"/>
    <x v="0"/>
    <s v="L"/>
    <n v="1"/>
    <s v="INR"/>
    <n v="1674"/>
    <s v="Gurugram"/>
    <x v="1"/>
    <s v="122001"/>
    <s v="India"/>
    <s v="Yes"/>
  </r>
  <r>
    <n v="275"/>
    <s v="311-4133424-1001494"/>
    <n v="232653"/>
    <x v="0"/>
    <n v="63"/>
    <x v="2"/>
    <x v="0"/>
    <x v="0"/>
    <x v="0"/>
    <x v="3"/>
    <s v="SKU1928"/>
    <x v="0"/>
    <s v="M"/>
    <n v="1"/>
    <s v="INR"/>
    <n v="489"/>
    <s v="Gurugram"/>
    <x v="1"/>
    <s v="122001"/>
    <s v="India"/>
    <s v="Yes"/>
  </r>
  <r>
    <n v="276"/>
    <s v="314-7507964-4144088"/>
    <n v="266715"/>
    <x v="1"/>
    <n v="20"/>
    <x v="1"/>
    <x v="0"/>
    <x v="0"/>
    <x v="0"/>
    <x v="2"/>
    <s v="SKU9456"/>
    <x v="1"/>
    <s v="XL"/>
    <n v="1"/>
    <s v="INR"/>
    <n v="1451"/>
    <s v="Kolkata"/>
    <x v="3"/>
    <s v="700001"/>
    <s v="India"/>
    <s v="No"/>
  </r>
  <r>
    <n v="277"/>
    <s v="886-3441477-5289177"/>
    <n v="298637"/>
    <x v="0"/>
    <n v="70"/>
    <x v="2"/>
    <x v="0"/>
    <x v="0"/>
    <x v="0"/>
    <x v="0"/>
    <s v="SKU4549"/>
    <x v="2"/>
    <s v="XXL"/>
    <n v="1"/>
    <s v="INR"/>
    <n v="1549"/>
    <s v="Bengaluru"/>
    <x v="2"/>
    <s v="560001"/>
    <s v="India"/>
    <s v="Yes"/>
  </r>
  <r>
    <n v="278"/>
    <s v="371-5941160-5547176"/>
    <n v="691465"/>
    <x v="1"/>
    <n v="31"/>
    <x v="0"/>
    <x v="0"/>
    <x v="0"/>
    <x v="0"/>
    <x v="0"/>
    <s v="SKU6331"/>
    <x v="2"/>
    <s v="XL"/>
    <n v="1"/>
    <s v="INR"/>
    <n v="1127"/>
    <s v="Kolkata"/>
    <x v="3"/>
    <s v="700001"/>
    <s v="India"/>
    <s v="Yes"/>
  </r>
  <r>
    <n v="279"/>
    <s v="824-8659637-8062412"/>
    <n v="273179"/>
    <x v="0"/>
    <n v="21"/>
    <x v="1"/>
    <x v="0"/>
    <x v="0"/>
    <x v="0"/>
    <x v="1"/>
    <s v="SKU7212"/>
    <x v="0"/>
    <s v="XL"/>
    <n v="1"/>
    <s v="INR"/>
    <n v="840"/>
    <s v="Gurugram"/>
    <x v="1"/>
    <s v="122001"/>
    <s v="India"/>
    <s v="No"/>
  </r>
  <r>
    <n v="280"/>
    <s v="644-6912562-4051678"/>
    <n v="246474"/>
    <x v="1"/>
    <n v="58"/>
    <x v="2"/>
    <x v="0"/>
    <x v="0"/>
    <x v="0"/>
    <x v="0"/>
    <s v="SKU3108"/>
    <x v="1"/>
    <s v="S"/>
    <n v="1"/>
    <s v="INR"/>
    <n v="349"/>
    <s v="Kolkata"/>
    <x v="3"/>
    <s v="700001"/>
    <s v="India"/>
    <s v="Yes"/>
  </r>
  <r>
    <n v="281"/>
    <s v="756-2465456-9142918"/>
    <n v="998662"/>
    <x v="0"/>
    <n v="49"/>
    <x v="0"/>
    <x v="0"/>
    <x v="0"/>
    <x v="0"/>
    <x v="2"/>
    <s v="SKU8775"/>
    <x v="1"/>
    <s v="M"/>
    <n v="1"/>
    <s v="INR"/>
    <n v="859"/>
    <s v="Mohali"/>
    <x v="0"/>
    <s v="160055"/>
    <s v="India"/>
    <s v="No"/>
  </r>
  <r>
    <n v="282"/>
    <s v="895-6457825-9021631"/>
    <n v="608509"/>
    <x v="1"/>
    <n v="58"/>
    <x v="2"/>
    <x v="0"/>
    <x v="0"/>
    <x v="0"/>
    <x v="3"/>
    <s v="SKU7065"/>
    <x v="2"/>
    <s v="XL"/>
    <n v="1"/>
    <s v="INR"/>
    <n v="1729"/>
    <s v="Gurugram"/>
    <x v="1"/>
    <s v="122001"/>
    <s v="India"/>
    <s v="No"/>
  </r>
  <r>
    <n v="283"/>
    <s v="712-1451795-7573917"/>
    <n v="370157"/>
    <x v="0"/>
    <n v="63"/>
    <x v="2"/>
    <x v="0"/>
    <x v="0"/>
    <x v="0"/>
    <x v="0"/>
    <s v="SKU9540"/>
    <x v="2"/>
    <s v="M"/>
    <n v="1"/>
    <s v="INR"/>
    <n v="646"/>
    <s v="Mohali"/>
    <x v="0"/>
    <s v="160055"/>
    <s v="India"/>
    <s v="Yes"/>
  </r>
  <r>
    <n v="284"/>
    <s v="790-6589146-7328895"/>
    <n v="923653"/>
    <x v="1"/>
    <n v="55"/>
    <x v="2"/>
    <x v="0"/>
    <x v="0"/>
    <x v="0"/>
    <x v="2"/>
    <s v="SKU9527"/>
    <x v="0"/>
    <s v="XXL"/>
    <n v="1"/>
    <s v="INR"/>
    <n v="1460"/>
    <s v="Kolkata"/>
    <x v="3"/>
    <s v="700001"/>
    <s v="India"/>
    <s v="Yes"/>
  </r>
  <r>
    <n v="285"/>
    <s v="767-8705607-6028909"/>
    <n v="817158"/>
    <x v="0"/>
    <n v="47"/>
    <x v="0"/>
    <x v="0"/>
    <x v="0"/>
    <x v="0"/>
    <x v="1"/>
    <s v="SKU6590"/>
    <x v="0"/>
    <s v="XXL"/>
    <n v="1"/>
    <s v="INR"/>
    <n v="1067"/>
    <s v="Bengaluru"/>
    <x v="2"/>
    <s v="560001"/>
    <s v="India"/>
    <s v="Yes"/>
  </r>
  <r>
    <n v="286"/>
    <s v="136-2382084-2446165"/>
    <n v="731099"/>
    <x v="1"/>
    <n v="38"/>
    <x v="0"/>
    <x v="0"/>
    <x v="0"/>
    <x v="0"/>
    <x v="3"/>
    <s v="SKU5274"/>
    <x v="1"/>
    <s v="M"/>
    <n v="1"/>
    <s v="INR"/>
    <n v="387"/>
    <s v="Kolkata"/>
    <x v="3"/>
    <s v="700001"/>
    <s v="India"/>
    <s v="Yes"/>
  </r>
  <r>
    <n v="287"/>
    <s v="566-6761655-9602922"/>
    <n v="419434"/>
    <x v="0"/>
    <n v="33"/>
    <x v="0"/>
    <x v="0"/>
    <x v="0"/>
    <x v="0"/>
    <x v="3"/>
    <s v="SKU7103"/>
    <x v="2"/>
    <s v="XXL"/>
    <n v="1"/>
    <s v="INR"/>
    <n v="1849"/>
    <s v="Mohali"/>
    <x v="0"/>
    <s v="160055"/>
    <s v="India"/>
    <s v="No"/>
  </r>
  <r>
    <n v="288"/>
    <s v="640-1508401-2740430"/>
    <n v="399962"/>
    <x v="1"/>
    <n v="52"/>
    <x v="2"/>
    <x v="0"/>
    <x v="0"/>
    <x v="0"/>
    <x v="3"/>
    <s v="SKU9509"/>
    <x v="2"/>
    <s v="M"/>
    <n v="1"/>
    <s v="INR"/>
    <n v="724"/>
    <s v="Kolkata"/>
    <x v="3"/>
    <s v="700001"/>
    <s v="India"/>
    <s v="Yes"/>
  </r>
  <r>
    <n v="289"/>
    <s v="274-2153643-1488754"/>
    <n v="115649"/>
    <x v="0"/>
    <n v="53"/>
    <x v="2"/>
    <x v="0"/>
    <x v="0"/>
    <x v="0"/>
    <x v="1"/>
    <s v="SKU6570"/>
    <x v="2"/>
    <s v="S"/>
    <n v="1"/>
    <s v="INR"/>
    <n v="1550"/>
    <s v="Gurugram"/>
    <x v="1"/>
    <s v="122001"/>
    <s v="India"/>
    <s v="Yes"/>
  </r>
  <r>
    <n v="290"/>
    <s v="716-6141663-4340715"/>
    <n v="369204"/>
    <x v="1"/>
    <n v="53"/>
    <x v="2"/>
    <x v="0"/>
    <x v="0"/>
    <x v="0"/>
    <x v="2"/>
    <s v="SKU6460"/>
    <x v="1"/>
    <s v="XXL"/>
    <n v="1"/>
    <s v="INR"/>
    <n v="818"/>
    <s v="Gurugram"/>
    <x v="1"/>
    <s v="122001"/>
    <s v="India"/>
    <s v="Yes"/>
  </r>
  <r>
    <n v="291"/>
    <s v="154-7101019-8044586"/>
    <n v="440633"/>
    <x v="0"/>
    <n v="19"/>
    <x v="1"/>
    <x v="0"/>
    <x v="0"/>
    <x v="0"/>
    <x v="0"/>
    <s v="SKU1466"/>
    <x v="2"/>
    <s v="S"/>
    <n v="1"/>
    <s v="INR"/>
    <n v="1017"/>
    <s v="Gurugram"/>
    <x v="1"/>
    <s v="122001"/>
    <s v="India"/>
    <s v="Yes"/>
  </r>
  <r>
    <n v="292"/>
    <s v="517-9815190-8076909"/>
    <n v="329306"/>
    <x v="1"/>
    <n v="42"/>
    <x v="0"/>
    <x v="0"/>
    <x v="0"/>
    <x v="0"/>
    <x v="2"/>
    <s v="SKU3949"/>
    <x v="2"/>
    <s v="XXL"/>
    <n v="1"/>
    <s v="INR"/>
    <n v="1315"/>
    <s v="Kolkata"/>
    <x v="3"/>
    <s v="700001"/>
    <s v="India"/>
    <s v="No"/>
  </r>
  <r>
    <n v="293"/>
    <s v="835-8748432-6922929"/>
    <n v="577949"/>
    <x v="0"/>
    <n v="33"/>
    <x v="0"/>
    <x v="0"/>
    <x v="0"/>
    <x v="0"/>
    <x v="2"/>
    <s v="SKU1721"/>
    <x v="2"/>
    <s v="XXL"/>
    <n v="1"/>
    <s v="INR"/>
    <n v="1582"/>
    <s v="Bengaluru"/>
    <x v="2"/>
    <s v="560001"/>
    <s v="India"/>
    <s v="No"/>
  </r>
  <r>
    <n v="294"/>
    <s v="117-9058220-5723444"/>
    <n v="980207"/>
    <x v="1"/>
    <n v="48"/>
    <x v="0"/>
    <x v="0"/>
    <x v="0"/>
    <x v="0"/>
    <x v="2"/>
    <s v="SKU5849"/>
    <x v="2"/>
    <s v="L"/>
    <n v="1"/>
    <s v="INR"/>
    <n v="403"/>
    <s v="Gurugram"/>
    <x v="1"/>
    <s v="122001"/>
    <s v="India"/>
    <s v="No"/>
  </r>
  <r>
    <n v="295"/>
    <s v="362-4801471-5016101"/>
    <n v="953983"/>
    <x v="0"/>
    <n v="35"/>
    <x v="0"/>
    <x v="0"/>
    <x v="0"/>
    <x v="0"/>
    <x v="3"/>
    <s v="SKU7562"/>
    <x v="2"/>
    <s v="XXL"/>
    <n v="1"/>
    <s v="INR"/>
    <n v="1684"/>
    <s v="Mohali"/>
    <x v="0"/>
    <s v="160055"/>
    <s v="India"/>
    <s v="Yes"/>
  </r>
  <r>
    <n v="296"/>
    <s v="684-8572282-3551206"/>
    <n v="546654"/>
    <x v="1"/>
    <n v="27"/>
    <x v="1"/>
    <x v="0"/>
    <x v="0"/>
    <x v="0"/>
    <x v="1"/>
    <s v="SKU4724"/>
    <x v="1"/>
    <s v="S"/>
    <n v="1"/>
    <s v="INR"/>
    <n v="1462"/>
    <s v="Gurugram"/>
    <x v="1"/>
    <s v="122001"/>
    <s v="India"/>
    <s v="No"/>
  </r>
  <r>
    <n v="297"/>
    <s v="139-7786805-6498768"/>
    <n v="360817"/>
    <x v="0"/>
    <n v="24"/>
    <x v="1"/>
    <x v="0"/>
    <x v="0"/>
    <x v="0"/>
    <x v="0"/>
    <s v="SKU8185"/>
    <x v="1"/>
    <s v="XXL"/>
    <n v="1"/>
    <s v="INR"/>
    <n v="1085"/>
    <s v="Mohali"/>
    <x v="0"/>
    <s v="160055"/>
    <s v="India"/>
    <s v="Yes"/>
  </r>
  <r>
    <n v="298"/>
    <s v="562-6278523-4394355"/>
    <n v="989164"/>
    <x v="1"/>
    <n v="20"/>
    <x v="1"/>
    <x v="0"/>
    <x v="0"/>
    <x v="0"/>
    <x v="2"/>
    <s v="SKU1074"/>
    <x v="2"/>
    <s v="S"/>
    <n v="1"/>
    <s v="INR"/>
    <n v="1001"/>
    <s v="Bengaluru"/>
    <x v="2"/>
    <s v="560001"/>
    <s v="India"/>
    <s v="Yes"/>
  </r>
  <r>
    <n v="299"/>
    <s v="307-1430630-7493061"/>
    <n v="441705"/>
    <x v="0"/>
    <n v="70"/>
    <x v="2"/>
    <x v="0"/>
    <x v="0"/>
    <x v="0"/>
    <x v="0"/>
    <s v="SKU7482"/>
    <x v="1"/>
    <s v="XXL"/>
    <n v="1"/>
    <s v="INR"/>
    <n v="1950"/>
    <s v="Kolkata"/>
    <x v="3"/>
    <s v="700001"/>
    <s v="India"/>
    <s v="Yes"/>
  </r>
  <r>
    <n v="300"/>
    <s v="704-4955307-9758775"/>
    <n v="381172"/>
    <x v="1"/>
    <n v="61"/>
    <x v="2"/>
    <x v="0"/>
    <x v="0"/>
    <x v="0"/>
    <x v="0"/>
    <s v="SKU9326"/>
    <x v="0"/>
    <s v="S"/>
    <n v="1"/>
    <s v="INR"/>
    <n v="621"/>
    <s v="Bengaluru"/>
    <x v="2"/>
    <s v="560001"/>
    <s v="India"/>
    <s v="No"/>
  </r>
  <r>
    <n v="301"/>
    <s v="952-4474405-2223974"/>
    <n v="850544"/>
    <x v="0"/>
    <n v="26"/>
    <x v="1"/>
    <x v="0"/>
    <x v="0"/>
    <x v="0"/>
    <x v="3"/>
    <s v="SKU1086"/>
    <x v="2"/>
    <s v="XXL"/>
    <n v="1"/>
    <s v="INR"/>
    <n v="1597"/>
    <s v="Bengaluru"/>
    <x v="2"/>
    <s v="560001"/>
    <s v="India"/>
    <s v="No"/>
  </r>
  <r>
    <n v="302"/>
    <s v="949-6075953-9733304"/>
    <n v="418018"/>
    <x v="1"/>
    <n v="48"/>
    <x v="0"/>
    <x v="0"/>
    <x v="0"/>
    <x v="0"/>
    <x v="3"/>
    <s v="SKU8154"/>
    <x v="0"/>
    <s v="S"/>
    <n v="1"/>
    <s v="INR"/>
    <n v="877"/>
    <s v="Bengaluru"/>
    <x v="2"/>
    <s v="560001"/>
    <s v="India"/>
    <s v="No"/>
  </r>
  <r>
    <n v="303"/>
    <s v="877-4893245-1385483"/>
    <n v="461316"/>
    <x v="0"/>
    <n v="49"/>
    <x v="0"/>
    <x v="0"/>
    <x v="0"/>
    <x v="0"/>
    <x v="3"/>
    <s v="SKU4776"/>
    <x v="2"/>
    <s v="XL"/>
    <n v="1"/>
    <s v="INR"/>
    <n v="1206"/>
    <s v="Mohali"/>
    <x v="0"/>
    <s v="160055"/>
    <s v="India"/>
    <s v="No"/>
  </r>
  <r>
    <n v="304"/>
    <s v="565-2853062-8482338"/>
    <n v="860261"/>
    <x v="1"/>
    <n v="34"/>
    <x v="0"/>
    <x v="0"/>
    <x v="0"/>
    <x v="0"/>
    <x v="0"/>
    <s v="SKU2350"/>
    <x v="0"/>
    <s v="M"/>
    <n v="1"/>
    <s v="INR"/>
    <n v="1757"/>
    <s v="Bengaluru"/>
    <x v="2"/>
    <s v="560001"/>
    <s v="India"/>
    <s v="No"/>
  </r>
  <r>
    <n v="305"/>
    <s v="311-9136702-6234625"/>
    <n v="634573"/>
    <x v="0"/>
    <n v="55"/>
    <x v="2"/>
    <x v="0"/>
    <x v="0"/>
    <x v="0"/>
    <x v="3"/>
    <s v="SKU1406"/>
    <x v="1"/>
    <s v="S"/>
    <n v="1"/>
    <s v="INR"/>
    <n v="1808"/>
    <s v="Kolkata"/>
    <x v="3"/>
    <s v="700001"/>
    <s v="India"/>
    <s v="No"/>
  </r>
  <r>
    <n v="306"/>
    <s v="213-7952544-6325918"/>
    <n v="683169"/>
    <x v="1"/>
    <n v="29"/>
    <x v="1"/>
    <x v="0"/>
    <x v="0"/>
    <x v="0"/>
    <x v="3"/>
    <s v="SKU2005"/>
    <x v="1"/>
    <s v="XL"/>
    <n v="1"/>
    <s v="INR"/>
    <n v="1360"/>
    <s v="Bengaluru"/>
    <x v="2"/>
    <s v="560001"/>
    <s v="India"/>
    <s v="No"/>
  </r>
  <r>
    <n v="307"/>
    <s v="417-4522185-6264034"/>
    <n v="956365"/>
    <x v="0"/>
    <n v="60"/>
    <x v="2"/>
    <x v="0"/>
    <x v="0"/>
    <x v="0"/>
    <x v="0"/>
    <s v="SKU7257"/>
    <x v="1"/>
    <s v="XXL"/>
    <n v="1"/>
    <s v="INR"/>
    <n v="842"/>
    <s v="Mohali"/>
    <x v="0"/>
    <s v="160055"/>
    <s v="India"/>
    <s v="No"/>
  </r>
  <r>
    <n v="308"/>
    <s v="328-8357258-8251308"/>
    <n v="403389"/>
    <x v="1"/>
    <n v="21"/>
    <x v="1"/>
    <x v="0"/>
    <x v="0"/>
    <x v="0"/>
    <x v="2"/>
    <s v="SKU7122"/>
    <x v="1"/>
    <s v="M"/>
    <n v="1"/>
    <s v="INR"/>
    <n v="1779"/>
    <s v="Gurugram"/>
    <x v="1"/>
    <s v="122001"/>
    <s v="India"/>
    <s v="No"/>
  </r>
  <r>
    <n v="309"/>
    <s v="671-7073345-2682098"/>
    <n v="494907"/>
    <x v="0"/>
    <n v="45"/>
    <x v="0"/>
    <x v="0"/>
    <x v="0"/>
    <x v="0"/>
    <x v="1"/>
    <s v="SKU2865"/>
    <x v="2"/>
    <s v="XL"/>
    <n v="1"/>
    <s v="INR"/>
    <n v="1617"/>
    <s v="Mohali"/>
    <x v="0"/>
    <s v="160055"/>
    <s v="India"/>
    <s v="Yes"/>
  </r>
  <r>
    <n v="310"/>
    <s v="988-9084614-3161671"/>
    <n v="747815"/>
    <x v="1"/>
    <n v="35"/>
    <x v="0"/>
    <x v="0"/>
    <x v="0"/>
    <x v="0"/>
    <x v="2"/>
    <s v="SKU3411"/>
    <x v="2"/>
    <s v="S"/>
    <n v="1"/>
    <s v="INR"/>
    <n v="517"/>
    <s v="Mohali"/>
    <x v="0"/>
    <s v="160055"/>
    <s v="India"/>
    <s v="No"/>
  </r>
  <r>
    <n v="311"/>
    <s v="391-1962107-1297380"/>
    <n v="138345"/>
    <x v="0"/>
    <n v="39"/>
    <x v="0"/>
    <x v="0"/>
    <x v="0"/>
    <x v="0"/>
    <x v="0"/>
    <s v="SKU3995"/>
    <x v="2"/>
    <s v="M"/>
    <n v="1"/>
    <s v="INR"/>
    <n v="1944"/>
    <s v="Bengaluru"/>
    <x v="2"/>
    <s v="560001"/>
    <s v="India"/>
    <s v="No"/>
  </r>
  <r>
    <n v="312"/>
    <s v="997-4445054-8132540"/>
    <n v="741570"/>
    <x v="1"/>
    <n v="22"/>
    <x v="1"/>
    <x v="0"/>
    <x v="0"/>
    <x v="0"/>
    <x v="3"/>
    <s v="SKU5823"/>
    <x v="0"/>
    <s v="S"/>
    <n v="1"/>
    <s v="INR"/>
    <n v="1777"/>
    <s v="Bengaluru"/>
    <x v="2"/>
    <s v="560001"/>
    <s v="India"/>
    <s v="Yes"/>
  </r>
  <r>
    <n v="313"/>
    <s v="542-6417484-8647202"/>
    <n v="841277"/>
    <x v="0"/>
    <n v="19"/>
    <x v="1"/>
    <x v="0"/>
    <x v="0"/>
    <x v="0"/>
    <x v="1"/>
    <s v="SKU4336"/>
    <x v="0"/>
    <s v="L"/>
    <n v="1"/>
    <s v="INR"/>
    <n v="708"/>
    <s v="Bengaluru"/>
    <x v="2"/>
    <s v="560001"/>
    <s v="India"/>
    <s v="Yes"/>
  </r>
  <r>
    <n v="314"/>
    <s v="200-9612203-1418466"/>
    <n v="743561"/>
    <x v="1"/>
    <n v="70"/>
    <x v="2"/>
    <x v="0"/>
    <x v="0"/>
    <x v="0"/>
    <x v="0"/>
    <s v="SKU4956"/>
    <x v="1"/>
    <s v="S"/>
    <n v="1"/>
    <s v="INR"/>
    <n v="1031"/>
    <s v="Mohali"/>
    <x v="0"/>
    <s v="160055"/>
    <s v="India"/>
    <s v="No"/>
  </r>
  <r>
    <n v="315"/>
    <s v="905-7535503-8135165"/>
    <n v="246977"/>
    <x v="0"/>
    <n v="65"/>
    <x v="2"/>
    <x v="0"/>
    <x v="0"/>
    <x v="0"/>
    <x v="2"/>
    <s v="SKU2688"/>
    <x v="2"/>
    <s v="M"/>
    <n v="1"/>
    <s v="INR"/>
    <n v="1249"/>
    <s v="Bengaluru"/>
    <x v="2"/>
    <s v="560001"/>
    <s v="India"/>
    <s v="Yes"/>
  </r>
  <r>
    <n v="316"/>
    <s v="155-2356981-4504290"/>
    <n v="754288"/>
    <x v="1"/>
    <n v="45"/>
    <x v="0"/>
    <x v="0"/>
    <x v="0"/>
    <x v="0"/>
    <x v="2"/>
    <s v="SKU7018"/>
    <x v="2"/>
    <s v="XXL"/>
    <n v="1"/>
    <s v="INR"/>
    <n v="580"/>
    <s v="Gurugram"/>
    <x v="1"/>
    <s v="122001"/>
    <s v="India"/>
    <s v="Yes"/>
  </r>
  <r>
    <n v="317"/>
    <s v="879-2108119-9290132"/>
    <n v="838780"/>
    <x v="0"/>
    <n v="22"/>
    <x v="1"/>
    <x v="0"/>
    <x v="0"/>
    <x v="0"/>
    <x v="3"/>
    <s v="SKU3140"/>
    <x v="0"/>
    <s v="L"/>
    <n v="1"/>
    <s v="INR"/>
    <n v="727"/>
    <s v="Kolkata"/>
    <x v="3"/>
    <s v="700001"/>
    <s v="India"/>
    <s v="Yes"/>
  </r>
  <r>
    <n v="318"/>
    <s v="506-5328224-9535297"/>
    <n v="552324"/>
    <x v="1"/>
    <n v="24"/>
    <x v="1"/>
    <x v="0"/>
    <x v="0"/>
    <x v="0"/>
    <x v="1"/>
    <s v="SKU2826"/>
    <x v="1"/>
    <s v="XXL"/>
    <n v="1"/>
    <s v="INR"/>
    <n v="1401"/>
    <s v="Bengaluru"/>
    <x v="2"/>
    <s v="560001"/>
    <s v="India"/>
    <s v="No"/>
  </r>
  <r>
    <n v="319"/>
    <s v="362-7825263-5994165"/>
    <n v="374932"/>
    <x v="0"/>
    <n v="61"/>
    <x v="2"/>
    <x v="0"/>
    <x v="0"/>
    <x v="0"/>
    <x v="0"/>
    <s v="SKU5516"/>
    <x v="1"/>
    <s v="S"/>
    <n v="1"/>
    <s v="INR"/>
    <n v="1840"/>
    <s v="Gurugram"/>
    <x v="1"/>
    <s v="122001"/>
    <s v="India"/>
    <s v="Yes"/>
  </r>
  <r>
    <n v="320"/>
    <s v="138-7813097-9278704"/>
    <n v="363948"/>
    <x v="1"/>
    <n v="47"/>
    <x v="0"/>
    <x v="0"/>
    <x v="0"/>
    <x v="0"/>
    <x v="2"/>
    <s v="SKU4205"/>
    <x v="0"/>
    <s v="M"/>
    <n v="1"/>
    <s v="INR"/>
    <n v="1564"/>
    <s v="Bengaluru"/>
    <x v="2"/>
    <s v="560001"/>
    <s v="India"/>
    <s v="Yes"/>
  </r>
  <r>
    <n v="321"/>
    <s v="916-6699871-4271328"/>
    <n v="509322"/>
    <x v="0"/>
    <n v="48"/>
    <x v="0"/>
    <x v="0"/>
    <x v="0"/>
    <x v="0"/>
    <x v="0"/>
    <s v="SKU7655"/>
    <x v="1"/>
    <s v="S"/>
    <n v="1"/>
    <s v="INR"/>
    <n v="691"/>
    <s v="Kolkata"/>
    <x v="3"/>
    <s v="700001"/>
    <s v="India"/>
    <s v="No"/>
  </r>
  <r>
    <n v="322"/>
    <s v="130-5493847-4137448"/>
    <n v="359775"/>
    <x v="1"/>
    <n v="60"/>
    <x v="2"/>
    <x v="0"/>
    <x v="0"/>
    <x v="0"/>
    <x v="0"/>
    <s v="SKU8748"/>
    <x v="2"/>
    <s v="XL"/>
    <n v="1"/>
    <s v="INR"/>
    <n v="443"/>
    <s v="Mohali"/>
    <x v="0"/>
    <s v="160055"/>
    <s v="India"/>
    <s v="Yes"/>
  </r>
  <r>
    <n v="323"/>
    <s v="790-2699584-8502140"/>
    <n v="734271"/>
    <x v="0"/>
    <n v="53"/>
    <x v="2"/>
    <x v="0"/>
    <x v="0"/>
    <x v="0"/>
    <x v="0"/>
    <s v="SKU9528"/>
    <x v="0"/>
    <s v="XXL"/>
    <n v="1"/>
    <s v="INR"/>
    <n v="1136"/>
    <s v="Mohali"/>
    <x v="0"/>
    <s v="160055"/>
    <s v="India"/>
    <s v="No"/>
  </r>
  <r>
    <n v="324"/>
    <s v="138-6926918-3441465"/>
    <n v="251845"/>
    <x v="1"/>
    <n v="31"/>
    <x v="0"/>
    <x v="0"/>
    <x v="0"/>
    <x v="0"/>
    <x v="2"/>
    <s v="SKU3823"/>
    <x v="2"/>
    <s v="XXL"/>
    <n v="1"/>
    <s v="INR"/>
    <n v="1178"/>
    <s v="Gurugram"/>
    <x v="1"/>
    <s v="122001"/>
    <s v="India"/>
    <s v="Yes"/>
  </r>
  <r>
    <n v="325"/>
    <s v="280-3104374-6681994"/>
    <n v="716152"/>
    <x v="0"/>
    <n v="39"/>
    <x v="0"/>
    <x v="0"/>
    <x v="0"/>
    <x v="0"/>
    <x v="2"/>
    <s v="SKU6633"/>
    <x v="2"/>
    <s v="XXL"/>
    <n v="1"/>
    <s v="INR"/>
    <n v="694"/>
    <s v="Gurugram"/>
    <x v="1"/>
    <s v="122001"/>
    <s v="India"/>
    <s v="Yes"/>
  </r>
  <r>
    <n v="326"/>
    <s v="254-3132669-5384777"/>
    <n v="872775"/>
    <x v="1"/>
    <n v="30"/>
    <x v="0"/>
    <x v="0"/>
    <x v="0"/>
    <x v="0"/>
    <x v="2"/>
    <s v="SKU7781"/>
    <x v="1"/>
    <s v="L"/>
    <n v="1"/>
    <s v="INR"/>
    <n v="1552"/>
    <s v="Bengaluru"/>
    <x v="2"/>
    <s v="560001"/>
    <s v="India"/>
    <s v="No"/>
  </r>
  <r>
    <n v="327"/>
    <s v="638-1945745-7412919"/>
    <n v="636297"/>
    <x v="0"/>
    <n v="56"/>
    <x v="2"/>
    <x v="0"/>
    <x v="0"/>
    <x v="0"/>
    <x v="2"/>
    <s v="SKU8890"/>
    <x v="1"/>
    <s v="XXL"/>
    <n v="1"/>
    <s v="INR"/>
    <n v="1039"/>
    <s v="Mohali"/>
    <x v="0"/>
    <s v="160055"/>
    <s v="India"/>
    <s v="Yes"/>
  </r>
  <r>
    <n v="328"/>
    <s v="247-4678168-6778543"/>
    <n v="286535"/>
    <x v="1"/>
    <n v="43"/>
    <x v="0"/>
    <x v="0"/>
    <x v="0"/>
    <x v="0"/>
    <x v="2"/>
    <s v="SKU3551"/>
    <x v="1"/>
    <s v="XL"/>
    <n v="1"/>
    <s v="INR"/>
    <n v="1672"/>
    <s v="Gurugram"/>
    <x v="1"/>
    <s v="122001"/>
    <s v="India"/>
    <s v="No"/>
  </r>
  <r>
    <n v="329"/>
    <s v="491-3336025-3785154"/>
    <n v="397654"/>
    <x v="0"/>
    <n v="61"/>
    <x v="2"/>
    <x v="0"/>
    <x v="0"/>
    <x v="0"/>
    <x v="1"/>
    <s v="SKU8449"/>
    <x v="1"/>
    <s v="XL"/>
    <n v="1"/>
    <s v="INR"/>
    <n v="467"/>
    <s v="Bengaluru"/>
    <x v="2"/>
    <s v="560001"/>
    <s v="India"/>
    <s v="No"/>
  </r>
  <r>
    <n v="330"/>
    <s v="893-6332398-2044780"/>
    <n v="274424"/>
    <x v="1"/>
    <n v="43"/>
    <x v="0"/>
    <x v="0"/>
    <x v="0"/>
    <x v="0"/>
    <x v="0"/>
    <s v="SKU5846"/>
    <x v="0"/>
    <s v="S"/>
    <n v="1"/>
    <s v="INR"/>
    <n v="1278"/>
    <s v="Bengaluru"/>
    <x v="2"/>
    <s v="560001"/>
    <s v="India"/>
    <s v="No"/>
  </r>
  <r>
    <n v="331"/>
    <s v="643-2524133-3464123"/>
    <n v="925508"/>
    <x v="0"/>
    <n v="26"/>
    <x v="1"/>
    <x v="0"/>
    <x v="0"/>
    <x v="0"/>
    <x v="0"/>
    <s v="SKU9921"/>
    <x v="0"/>
    <s v="XXL"/>
    <n v="1"/>
    <s v="INR"/>
    <n v="1335"/>
    <s v="Gurugram"/>
    <x v="1"/>
    <s v="122001"/>
    <s v="India"/>
    <s v="Yes"/>
  </r>
  <r>
    <n v="332"/>
    <s v="365-9359695-3071700"/>
    <n v="482180"/>
    <x v="1"/>
    <n v="18"/>
    <x v="1"/>
    <x v="0"/>
    <x v="0"/>
    <x v="0"/>
    <x v="1"/>
    <s v="SKU1131"/>
    <x v="0"/>
    <s v="XL"/>
    <n v="1"/>
    <s v="INR"/>
    <n v="1410"/>
    <s v="Mohali"/>
    <x v="0"/>
    <s v="160055"/>
    <s v="India"/>
    <s v="No"/>
  </r>
  <r>
    <n v="333"/>
    <s v="601-5916439-7176239"/>
    <n v="496361"/>
    <x v="0"/>
    <n v="38"/>
    <x v="0"/>
    <x v="0"/>
    <x v="0"/>
    <x v="0"/>
    <x v="1"/>
    <s v="SKU6107"/>
    <x v="2"/>
    <s v="M"/>
    <n v="1"/>
    <s v="INR"/>
    <n v="1078"/>
    <s v="Kolkata"/>
    <x v="3"/>
    <s v="700001"/>
    <s v="India"/>
    <s v="No"/>
  </r>
  <r>
    <n v="334"/>
    <s v="626-3144642-9045072"/>
    <n v="185230"/>
    <x v="1"/>
    <n v="45"/>
    <x v="0"/>
    <x v="0"/>
    <x v="0"/>
    <x v="0"/>
    <x v="1"/>
    <s v="SKU7581"/>
    <x v="0"/>
    <s v="S"/>
    <n v="1"/>
    <s v="INR"/>
    <n v="1066"/>
    <s v="Gurugram"/>
    <x v="1"/>
    <s v="122001"/>
    <s v="India"/>
    <s v="No"/>
  </r>
  <r>
    <n v="335"/>
    <s v="916-5613481-2633172"/>
    <n v="958908"/>
    <x v="0"/>
    <n v="25"/>
    <x v="1"/>
    <x v="0"/>
    <x v="0"/>
    <x v="0"/>
    <x v="1"/>
    <s v="SKU3232"/>
    <x v="1"/>
    <s v="XXL"/>
    <n v="1"/>
    <s v="INR"/>
    <n v="1566"/>
    <s v="Mohali"/>
    <x v="0"/>
    <s v="160055"/>
    <s v="India"/>
    <s v="No"/>
  </r>
  <r>
    <n v="336"/>
    <s v="797-9189659-9767539"/>
    <n v="523016"/>
    <x v="1"/>
    <n v="18"/>
    <x v="1"/>
    <x v="0"/>
    <x v="0"/>
    <x v="0"/>
    <x v="1"/>
    <s v="SKU3575"/>
    <x v="1"/>
    <s v="S"/>
    <n v="1"/>
    <s v="INR"/>
    <n v="1284"/>
    <s v="Gurugram"/>
    <x v="1"/>
    <s v="122001"/>
    <s v="India"/>
    <s v="Yes"/>
  </r>
  <r>
    <n v="337"/>
    <s v="139-9147464-8170316"/>
    <n v="427960"/>
    <x v="0"/>
    <n v="47"/>
    <x v="0"/>
    <x v="0"/>
    <x v="0"/>
    <x v="0"/>
    <x v="3"/>
    <s v="SKU5456"/>
    <x v="2"/>
    <s v="L"/>
    <n v="1"/>
    <s v="INR"/>
    <n v="1858"/>
    <s v="Mohali"/>
    <x v="0"/>
    <s v="160055"/>
    <s v="India"/>
    <s v="Yes"/>
  </r>
  <r>
    <n v="338"/>
    <s v="646-5294757-5709290"/>
    <n v="208515"/>
    <x v="1"/>
    <n v="26"/>
    <x v="1"/>
    <x v="0"/>
    <x v="0"/>
    <x v="0"/>
    <x v="0"/>
    <s v="SKU5574"/>
    <x v="2"/>
    <s v="S"/>
    <n v="1"/>
    <s v="INR"/>
    <n v="403"/>
    <s v="Gurugram"/>
    <x v="1"/>
    <s v="122001"/>
    <s v="India"/>
    <s v="Yes"/>
  </r>
  <r>
    <n v="339"/>
    <s v="681-7564607-6527989"/>
    <n v="739620"/>
    <x v="0"/>
    <n v="68"/>
    <x v="2"/>
    <x v="0"/>
    <x v="0"/>
    <x v="0"/>
    <x v="2"/>
    <s v="SKU7485"/>
    <x v="1"/>
    <s v="L"/>
    <n v="1"/>
    <s v="INR"/>
    <n v="1453"/>
    <s v="Gurugram"/>
    <x v="1"/>
    <s v="122001"/>
    <s v="India"/>
    <s v="No"/>
  </r>
  <r>
    <n v="340"/>
    <s v="980-3632756-1426345"/>
    <n v="493193"/>
    <x v="1"/>
    <n v="69"/>
    <x v="2"/>
    <x v="0"/>
    <x v="0"/>
    <x v="0"/>
    <x v="1"/>
    <s v="SKU1157"/>
    <x v="2"/>
    <s v="M"/>
    <n v="1"/>
    <s v="INR"/>
    <n v="1057"/>
    <s v="Bengaluru"/>
    <x v="2"/>
    <s v="560001"/>
    <s v="India"/>
    <s v="No"/>
  </r>
  <r>
    <n v="341"/>
    <s v="187-5264671-1376078"/>
    <n v="113730"/>
    <x v="0"/>
    <n v="43"/>
    <x v="0"/>
    <x v="0"/>
    <x v="0"/>
    <x v="0"/>
    <x v="2"/>
    <s v="SKU5520"/>
    <x v="0"/>
    <s v="S"/>
    <n v="1"/>
    <s v="INR"/>
    <n v="1534"/>
    <s v="Gurugram"/>
    <x v="1"/>
    <s v="122001"/>
    <s v="India"/>
    <s v="No"/>
  </r>
  <r>
    <n v="342"/>
    <s v="212-7538474-1945578"/>
    <n v="941974"/>
    <x v="1"/>
    <n v="67"/>
    <x v="2"/>
    <x v="0"/>
    <x v="0"/>
    <x v="0"/>
    <x v="0"/>
    <s v="SKU9667"/>
    <x v="2"/>
    <s v="S"/>
    <n v="1"/>
    <s v="INR"/>
    <n v="1564"/>
    <s v="Kolkata"/>
    <x v="3"/>
    <s v="700001"/>
    <s v="India"/>
    <s v="Yes"/>
  </r>
  <r>
    <n v="343"/>
    <s v="618-9635194-5496947"/>
    <n v="695560"/>
    <x v="0"/>
    <n v="47"/>
    <x v="0"/>
    <x v="0"/>
    <x v="0"/>
    <x v="0"/>
    <x v="3"/>
    <s v="SKU7424"/>
    <x v="1"/>
    <s v="XL"/>
    <n v="1"/>
    <s v="INR"/>
    <n v="1883"/>
    <s v="Mohali"/>
    <x v="0"/>
    <s v="160055"/>
    <s v="India"/>
    <s v="No"/>
  </r>
  <r>
    <n v="344"/>
    <s v="530-2054458-1902247"/>
    <n v="768278"/>
    <x v="1"/>
    <n v="18"/>
    <x v="1"/>
    <x v="0"/>
    <x v="0"/>
    <x v="0"/>
    <x v="2"/>
    <s v="SKU7054"/>
    <x v="2"/>
    <s v="XL"/>
    <n v="1"/>
    <s v="INR"/>
    <n v="551"/>
    <s v="Mohali"/>
    <x v="0"/>
    <s v="160055"/>
    <s v="India"/>
    <s v="No"/>
  </r>
  <r>
    <n v="345"/>
    <s v="520-2901753-7258801"/>
    <n v="449744"/>
    <x v="0"/>
    <n v="65"/>
    <x v="2"/>
    <x v="0"/>
    <x v="0"/>
    <x v="0"/>
    <x v="3"/>
    <s v="SKU4213"/>
    <x v="2"/>
    <s v="L"/>
    <n v="1"/>
    <s v="INR"/>
    <n v="438"/>
    <s v="Bengaluru"/>
    <x v="2"/>
    <s v="560001"/>
    <s v="India"/>
    <s v="Yes"/>
  </r>
  <r>
    <n v="346"/>
    <s v="852-4999537-7305296"/>
    <n v="318745"/>
    <x v="1"/>
    <n v="28"/>
    <x v="1"/>
    <x v="0"/>
    <x v="0"/>
    <x v="0"/>
    <x v="3"/>
    <s v="SKU3933"/>
    <x v="0"/>
    <s v="S"/>
    <n v="1"/>
    <s v="INR"/>
    <n v="807"/>
    <s v="Gurugram"/>
    <x v="1"/>
    <s v="122001"/>
    <s v="India"/>
    <s v="Yes"/>
  </r>
  <r>
    <n v="347"/>
    <s v="868-8129972-1361666"/>
    <n v="604636"/>
    <x v="0"/>
    <n v="62"/>
    <x v="2"/>
    <x v="0"/>
    <x v="0"/>
    <x v="0"/>
    <x v="3"/>
    <s v="SKU4836"/>
    <x v="0"/>
    <s v="XL"/>
    <n v="1"/>
    <s v="INR"/>
    <n v="1737"/>
    <s v="Kolkata"/>
    <x v="3"/>
    <s v="700001"/>
    <s v="India"/>
    <s v="No"/>
  </r>
  <r>
    <n v="348"/>
    <s v="753-1677161-1615041"/>
    <n v="846386"/>
    <x v="1"/>
    <n v="40"/>
    <x v="0"/>
    <x v="0"/>
    <x v="0"/>
    <x v="0"/>
    <x v="2"/>
    <s v="SKU8746"/>
    <x v="0"/>
    <s v="S"/>
    <n v="1"/>
    <s v="INR"/>
    <n v="1522"/>
    <s v="Gurugram"/>
    <x v="1"/>
    <s v="122001"/>
    <s v="India"/>
    <s v="Yes"/>
  </r>
  <r>
    <n v="349"/>
    <s v="649-3342657-9202567"/>
    <n v="533918"/>
    <x v="0"/>
    <n v="60"/>
    <x v="2"/>
    <x v="0"/>
    <x v="0"/>
    <x v="0"/>
    <x v="0"/>
    <s v="SKU1058"/>
    <x v="1"/>
    <s v="XXL"/>
    <n v="1"/>
    <s v="INR"/>
    <n v="1036"/>
    <s v="Gurugram"/>
    <x v="1"/>
    <s v="122001"/>
    <s v="India"/>
    <s v="Yes"/>
  </r>
  <r>
    <n v="350"/>
    <s v="491-6263857-3292511"/>
    <n v="315158"/>
    <x v="1"/>
    <n v="26"/>
    <x v="1"/>
    <x v="0"/>
    <x v="0"/>
    <x v="0"/>
    <x v="0"/>
    <s v="SKU4532"/>
    <x v="2"/>
    <s v="XL"/>
    <n v="1"/>
    <s v="INR"/>
    <n v="916"/>
    <s v="Kolkata"/>
    <x v="3"/>
    <s v="700001"/>
    <s v="India"/>
    <s v="Yes"/>
  </r>
  <r>
    <n v="351"/>
    <s v="970-5820664-1032405"/>
    <n v="846519"/>
    <x v="0"/>
    <n v="33"/>
    <x v="0"/>
    <x v="0"/>
    <x v="0"/>
    <x v="0"/>
    <x v="0"/>
    <s v="SKU5157"/>
    <x v="1"/>
    <s v="L"/>
    <n v="1"/>
    <s v="INR"/>
    <n v="799"/>
    <s v="Mohali"/>
    <x v="0"/>
    <s v="160055"/>
    <s v="India"/>
    <s v="Yes"/>
  </r>
  <r>
    <n v="352"/>
    <s v="611-3970179-9239648"/>
    <n v="350725"/>
    <x v="1"/>
    <n v="52"/>
    <x v="2"/>
    <x v="0"/>
    <x v="0"/>
    <x v="0"/>
    <x v="0"/>
    <s v="SKU1532"/>
    <x v="0"/>
    <s v="XXL"/>
    <n v="1"/>
    <s v="INR"/>
    <n v="1355"/>
    <s v="Kolkata"/>
    <x v="3"/>
    <s v="700001"/>
    <s v="India"/>
    <s v="No"/>
  </r>
  <r>
    <n v="353"/>
    <s v="634-1755988-9822502"/>
    <n v="117518"/>
    <x v="0"/>
    <n v="22"/>
    <x v="1"/>
    <x v="0"/>
    <x v="0"/>
    <x v="0"/>
    <x v="0"/>
    <s v="SKU6388"/>
    <x v="0"/>
    <s v="L"/>
    <n v="1"/>
    <s v="INR"/>
    <n v="312"/>
    <s v="Bengaluru"/>
    <x v="2"/>
    <s v="560001"/>
    <s v="India"/>
    <s v="Yes"/>
  </r>
  <r>
    <n v="354"/>
    <s v="871-7152074-8481869"/>
    <n v="947471"/>
    <x v="1"/>
    <n v="41"/>
    <x v="0"/>
    <x v="0"/>
    <x v="0"/>
    <x v="0"/>
    <x v="3"/>
    <s v="SKU4608"/>
    <x v="0"/>
    <s v="M"/>
    <n v="1"/>
    <s v="INR"/>
    <n v="374"/>
    <s v="Bengaluru"/>
    <x v="2"/>
    <s v="560001"/>
    <s v="India"/>
    <s v="Yes"/>
  </r>
  <r>
    <n v="355"/>
    <s v="532-4249801-6363570"/>
    <n v="948120"/>
    <x v="0"/>
    <n v="41"/>
    <x v="0"/>
    <x v="0"/>
    <x v="0"/>
    <x v="0"/>
    <x v="3"/>
    <s v="SKU8426"/>
    <x v="0"/>
    <s v="L"/>
    <n v="1"/>
    <s v="INR"/>
    <n v="1803"/>
    <s v="Bengaluru"/>
    <x v="2"/>
    <s v="560001"/>
    <s v="India"/>
    <s v="Yes"/>
  </r>
  <r>
    <n v="356"/>
    <s v="841-6215481-5764396"/>
    <n v="721392"/>
    <x v="1"/>
    <n v="24"/>
    <x v="1"/>
    <x v="0"/>
    <x v="0"/>
    <x v="0"/>
    <x v="2"/>
    <s v="SKU6779"/>
    <x v="2"/>
    <s v="L"/>
    <n v="1"/>
    <s v="INR"/>
    <n v="1439"/>
    <s v="Kolkata"/>
    <x v="3"/>
    <s v="700001"/>
    <s v="India"/>
    <s v="Yes"/>
  </r>
  <r>
    <n v="357"/>
    <s v="537-9429620-8128624"/>
    <n v="400925"/>
    <x v="0"/>
    <n v="23"/>
    <x v="1"/>
    <x v="0"/>
    <x v="0"/>
    <x v="0"/>
    <x v="0"/>
    <s v="SKU5946"/>
    <x v="0"/>
    <s v="L"/>
    <n v="1"/>
    <s v="INR"/>
    <n v="1852"/>
    <s v="Bengaluru"/>
    <x v="2"/>
    <s v="560001"/>
    <s v="India"/>
    <s v="No"/>
  </r>
  <r>
    <n v="358"/>
    <s v="938-4380097-5041363"/>
    <n v="190502"/>
    <x v="1"/>
    <n v="69"/>
    <x v="2"/>
    <x v="0"/>
    <x v="0"/>
    <x v="0"/>
    <x v="1"/>
    <s v="SKU1396"/>
    <x v="1"/>
    <s v="M"/>
    <n v="1"/>
    <s v="INR"/>
    <n v="330"/>
    <s v="Gurugram"/>
    <x v="1"/>
    <s v="122001"/>
    <s v="India"/>
    <s v="Yes"/>
  </r>
  <r>
    <n v="359"/>
    <s v="754-8052685-7611634"/>
    <n v="287737"/>
    <x v="0"/>
    <n v="28"/>
    <x v="1"/>
    <x v="0"/>
    <x v="0"/>
    <x v="0"/>
    <x v="2"/>
    <s v="SKU5869"/>
    <x v="0"/>
    <s v="XXL"/>
    <n v="1"/>
    <s v="INR"/>
    <n v="1546"/>
    <s v="Kolkata"/>
    <x v="3"/>
    <s v="700001"/>
    <s v="India"/>
    <s v="Yes"/>
  </r>
  <r>
    <n v="360"/>
    <s v="948-7267419-9871596"/>
    <n v="883783"/>
    <x v="1"/>
    <n v="47"/>
    <x v="0"/>
    <x v="0"/>
    <x v="0"/>
    <x v="0"/>
    <x v="3"/>
    <s v="SKU7430"/>
    <x v="1"/>
    <s v="L"/>
    <n v="1"/>
    <s v="INR"/>
    <n v="1159"/>
    <s v="Mohali"/>
    <x v="0"/>
    <s v="160055"/>
    <s v="India"/>
    <s v="Yes"/>
  </r>
  <r>
    <n v="361"/>
    <s v="971-2288837-4733774"/>
    <n v="385155"/>
    <x v="0"/>
    <n v="60"/>
    <x v="2"/>
    <x v="0"/>
    <x v="0"/>
    <x v="0"/>
    <x v="0"/>
    <s v="SKU1320"/>
    <x v="0"/>
    <s v="XXL"/>
    <n v="1"/>
    <s v="INR"/>
    <n v="1441"/>
    <s v="Kolkata"/>
    <x v="3"/>
    <s v="700001"/>
    <s v="India"/>
    <s v="No"/>
  </r>
  <r>
    <n v="362"/>
    <s v="347-4386493-4999099"/>
    <n v="331708"/>
    <x v="1"/>
    <n v="52"/>
    <x v="2"/>
    <x v="0"/>
    <x v="0"/>
    <x v="0"/>
    <x v="1"/>
    <s v="SKU4098"/>
    <x v="2"/>
    <s v="L"/>
    <n v="1"/>
    <s v="INR"/>
    <n v="368"/>
    <s v="Kolkata"/>
    <x v="3"/>
    <s v="700001"/>
    <s v="India"/>
    <s v="No"/>
  </r>
  <r>
    <n v="363"/>
    <s v="696-3909931-1154732"/>
    <n v="569951"/>
    <x v="0"/>
    <n v="52"/>
    <x v="2"/>
    <x v="0"/>
    <x v="0"/>
    <x v="0"/>
    <x v="3"/>
    <s v="SKU1257"/>
    <x v="2"/>
    <s v="XXL"/>
    <n v="1"/>
    <s v="INR"/>
    <n v="302"/>
    <s v="Kolkata"/>
    <x v="3"/>
    <s v="700001"/>
    <s v="India"/>
    <s v="Yes"/>
  </r>
  <r>
    <n v="364"/>
    <s v="907-5705634-3298961"/>
    <n v="834241"/>
    <x v="1"/>
    <n v="57"/>
    <x v="2"/>
    <x v="0"/>
    <x v="0"/>
    <x v="0"/>
    <x v="0"/>
    <s v="SKU5082"/>
    <x v="2"/>
    <s v="L"/>
    <n v="1"/>
    <s v="INR"/>
    <n v="593"/>
    <s v="Gurugram"/>
    <x v="1"/>
    <s v="122001"/>
    <s v="India"/>
    <s v="No"/>
  </r>
  <r>
    <n v="365"/>
    <s v="639-9860874-9700184"/>
    <n v="141104"/>
    <x v="0"/>
    <n v="18"/>
    <x v="1"/>
    <x v="0"/>
    <x v="0"/>
    <x v="0"/>
    <x v="2"/>
    <s v="SKU2761"/>
    <x v="1"/>
    <s v="M"/>
    <n v="1"/>
    <s v="INR"/>
    <n v="1062"/>
    <s v="Gurugram"/>
    <x v="1"/>
    <s v="122001"/>
    <s v="India"/>
    <s v="Yes"/>
  </r>
  <r>
    <n v="366"/>
    <s v="487-8634233-6651606"/>
    <n v="896553"/>
    <x v="1"/>
    <n v="36"/>
    <x v="0"/>
    <x v="0"/>
    <x v="0"/>
    <x v="0"/>
    <x v="3"/>
    <s v="SKU2490"/>
    <x v="2"/>
    <s v="S"/>
    <n v="1"/>
    <s v="INR"/>
    <n v="1763"/>
    <s v="Bengaluru"/>
    <x v="2"/>
    <s v="560001"/>
    <s v="India"/>
    <s v="Yes"/>
  </r>
  <r>
    <n v="367"/>
    <s v="738-9623772-1890544"/>
    <n v="782869"/>
    <x v="0"/>
    <n v="57"/>
    <x v="2"/>
    <x v="0"/>
    <x v="0"/>
    <x v="0"/>
    <x v="0"/>
    <s v="SKU1567"/>
    <x v="1"/>
    <s v="M"/>
    <n v="1"/>
    <s v="INR"/>
    <n v="972"/>
    <s v="Bengaluru"/>
    <x v="2"/>
    <s v="560001"/>
    <s v="India"/>
    <s v="No"/>
  </r>
  <r>
    <n v="368"/>
    <s v="839-8171442-4807434"/>
    <n v="525644"/>
    <x v="1"/>
    <n v="64"/>
    <x v="2"/>
    <x v="0"/>
    <x v="0"/>
    <x v="0"/>
    <x v="0"/>
    <s v="SKU5151"/>
    <x v="0"/>
    <s v="L"/>
    <n v="1"/>
    <s v="INR"/>
    <n v="1504"/>
    <s v="Kolkata"/>
    <x v="3"/>
    <s v="700001"/>
    <s v="India"/>
    <s v="No"/>
  </r>
  <r>
    <n v="369"/>
    <s v="966-6158852-2361891"/>
    <n v="340531"/>
    <x v="0"/>
    <n v="54"/>
    <x v="2"/>
    <x v="0"/>
    <x v="0"/>
    <x v="0"/>
    <x v="2"/>
    <s v="SKU2835"/>
    <x v="2"/>
    <s v="XXL"/>
    <n v="1"/>
    <s v="INR"/>
    <n v="1770"/>
    <s v="Kolkata"/>
    <x v="3"/>
    <s v="700001"/>
    <s v="India"/>
    <s v="Yes"/>
  </r>
  <r>
    <n v="370"/>
    <s v="600-3598952-9588053"/>
    <n v="200357"/>
    <x v="1"/>
    <n v="33"/>
    <x v="0"/>
    <x v="0"/>
    <x v="0"/>
    <x v="0"/>
    <x v="0"/>
    <s v="SKU1090"/>
    <x v="1"/>
    <s v="XXL"/>
    <n v="1"/>
    <s v="INR"/>
    <n v="1723"/>
    <s v="Mohali"/>
    <x v="0"/>
    <s v="160055"/>
    <s v="India"/>
    <s v="No"/>
  </r>
  <r>
    <n v="371"/>
    <s v="104-3232178-7199625"/>
    <n v="175680"/>
    <x v="0"/>
    <n v="41"/>
    <x v="0"/>
    <x v="0"/>
    <x v="0"/>
    <x v="0"/>
    <x v="1"/>
    <s v="SKU6560"/>
    <x v="0"/>
    <s v="L"/>
    <n v="1"/>
    <s v="INR"/>
    <n v="350"/>
    <s v="Gurugram"/>
    <x v="1"/>
    <s v="122001"/>
    <s v="India"/>
    <s v="No"/>
  </r>
  <r>
    <n v="372"/>
    <s v="386-1940146-4695701"/>
    <n v="924883"/>
    <x v="1"/>
    <n v="57"/>
    <x v="2"/>
    <x v="0"/>
    <x v="0"/>
    <x v="0"/>
    <x v="3"/>
    <s v="SKU9917"/>
    <x v="1"/>
    <s v="XL"/>
    <n v="1"/>
    <s v="INR"/>
    <n v="836"/>
    <s v="Gurugram"/>
    <x v="1"/>
    <s v="122001"/>
    <s v="India"/>
    <s v="Yes"/>
  </r>
  <r>
    <n v="373"/>
    <s v="817-9205103-4062937"/>
    <n v="739919"/>
    <x v="0"/>
    <n v="53"/>
    <x v="2"/>
    <x v="0"/>
    <x v="0"/>
    <x v="0"/>
    <x v="0"/>
    <s v="SKU5655"/>
    <x v="1"/>
    <s v="M"/>
    <n v="1"/>
    <s v="INR"/>
    <n v="502"/>
    <s v="Mohali"/>
    <x v="0"/>
    <s v="160055"/>
    <s v="India"/>
    <s v="No"/>
  </r>
  <r>
    <n v="374"/>
    <s v="617-2228477-7777470"/>
    <n v="679291"/>
    <x v="1"/>
    <n v="35"/>
    <x v="0"/>
    <x v="0"/>
    <x v="0"/>
    <x v="0"/>
    <x v="3"/>
    <s v="SKU7101"/>
    <x v="0"/>
    <s v="XL"/>
    <n v="1"/>
    <s v="INR"/>
    <n v="668"/>
    <s v="Gurugram"/>
    <x v="1"/>
    <s v="122001"/>
    <s v="India"/>
    <s v="Yes"/>
  </r>
  <r>
    <n v="375"/>
    <s v="872-7845300-5816045"/>
    <n v="951803"/>
    <x v="0"/>
    <n v="35"/>
    <x v="0"/>
    <x v="0"/>
    <x v="0"/>
    <x v="0"/>
    <x v="0"/>
    <s v="SKU5662"/>
    <x v="0"/>
    <s v="XXL"/>
    <n v="1"/>
    <s v="INR"/>
    <n v="923"/>
    <s v="Gurugram"/>
    <x v="1"/>
    <s v="122001"/>
    <s v="India"/>
    <s v="Yes"/>
  </r>
  <r>
    <n v="376"/>
    <s v="743-8317518-7945616"/>
    <n v="803471"/>
    <x v="1"/>
    <n v="27"/>
    <x v="1"/>
    <x v="0"/>
    <x v="0"/>
    <x v="0"/>
    <x v="0"/>
    <s v="SKU2062"/>
    <x v="0"/>
    <s v="L"/>
    <n v="1"/>
    <s v="INR"/>
    <n v="1982"/>
    <s v="Gurugram"/>
    <x v="1"/>
    <s v="122001"/>
    <s v="India"/>
    <s v="Yes"/>
  </r>
  <r>
    <n v="377"/>
    <s v="108-8217826-1123068"/>
    <n v="461291"/>
    <x v="0"/>
    <n v="63"/>
    <x v="2"/>
    <x v="0"/>
    <x v="0"/>
    <x v="0"/>
    <x v="1"/>
    <s v="SKU4463"/>
    <x v="2"/>
    <s v="L"/>
    <n v="1"/>
    <s v="INR"/>
    <n v="1613"/>
    <s v="Mohali"/>
    <x v="0"/>
    <s v="160055"/>
    <s v="India"/>
    <s v="No"/>
  </r>
  <r>
    <n v="378"/>
    <s v="617-3155792-9031622"/>
    <n v="101246"/>
    <x v="1"/>
    <n v="55"/>
    <x v="2"/>
    <x v="0"/>
    <x v="0"/>
    <x v="0"/>
    <x v="2"/>
    <s v="SKU3029"/>
    <x v="2"/>
    <s v="XXL"/>
    <n v="1"/>
    <s v="INR"/>
    <n v="477"/>
    <s v="Bengaluru"/>
    <x v="2"/>
    <s v="560001"/>
    <s v="India"/>
    <s v="No"/>
  </r>
  <r>
    <n v="379"/>
    <s v="644-2711036-9635489"/>
    <n v="652382"/>
    <x v="0"/>
    <n v="22"/>
    <x v="1"/>
    <x v="0"/>
    <x v="0"/>
    <x v="0"/>
    <x v="0"/>
    <s v="SKU7330"/>
    <x v="1"/>
    <s v="S"/>
    <n v="1"/>
    <s v="INR"/>
    <n v="1257"/>
    <s v="Kolkata"/>
    <x v="3"/>
    <s v="700001"/>
    <s v="India"/>
    <s v="Yes"/>
  </r>
  <r>
    <n v="380"/>
    <s v="562-5739352-5799237"/>
    <n v="481327"/>
    <x v="1"/>
    <n v="66"/>
    <x v="2"/>
    <x v="0"/>
    <x v="0"/>
    <x v="0"/>
    <x v="0"/>
    <s v="SKU7300"/>
    <x v="1"/>
    <s v="XXL"/>
    <n v="1"/>
    <s v="INR"/>
    <n v="1384"/>
    <s v="Kolkata"/>
    <x v="3"/>
    <s v="700001"/>
    <s v="India"/>
    <s v="Yes"/>
  </r>
  <r>
    <n v="381"/>
    <s v="538-9170044-5592007"/>
    <n v="416542"/>
    <x v="0"/>
    <n v="38"/>
    <x v="0"/>
    <x v="0"/>
    <x v="0"/>
    <x v="0"/>
    <x v="2"/>
    <s v="SKU3485"/>
    <x v="0"/>
    <s v="L"/>
    <n v="1"/>
    <s v="INR"/>
    <n v="358"/>
    <s v="Kolkata"/>
    <x v="3"/>
    <s v="700001"/>
    <s v="India"/>
    <s v="Yes"/>
  </r>
  <r>
    <n v="382"/>
    <s v="203-1622605-4514091"/>
    <n v="600541"/>
    <x v="1"/>
    <n v="57"/>
    <x v="2"/>
    <x v="0"/>
    <x v="0"/>
    <x v="0"/>
    <x v="3"/>
    <s v="SKU8362"/>
    <x v="1"/>
    <s v="XL"/>
    <n v="1"/>
    <s v="INR"/>
    <n v="1291"/>
    <s v="Mohali"/>
    <x v="0"/>
    <s v="160055"/>
    <s v="India"/>
    <s v="No"/>
  </r>
  <r>
    <n v="383"/>
    <s v="979-4773799-2254844"/>
    <n v="885899"/>
    <x v="0"/>
    <n v="52"/>
    <x v="2"/>
    <x v="0"/>
    <x v="0"/>
    <x v="0"/>
    <x v="0"/>
    <s v="SKU6643"/>
    <x v="2"/>
    <s v="XL"/>
    <n v="1"/>
    <s v="INR"/>
    <n v="1382"/>
    <s v="Bengaluru"/>
    <x v="2"/>
    <s v="560001"/>
    <s v="India"/>
    <s v="Yes"/>
  </r>
  <r>
    <n v="384"/>
    <s v="729-8213693-2491687"/>
    <n v="186526"/>
    <x v="1"/>
    <n v="26"/>
    <x v="1"/>
    <x v="0"/>
    <x v="0"/>
    <x v="0"/>
    <x v="3"/>
    <s v="SKU6122"/>
    <x v="2"/>
    <s v="M"/>
    <n v="1"/>
    <s v="INR"/>
    <n v="1000"/>
    <s v="Bengaluru"/>
    <x v="2"/>
    <s v="560001"/>
    <s v="India"/>
    <s v="Yes"/>
  </r>
  <r>
    <n v="385"/>
    <s v="676-8640035-3303123"/>
    <n v="339794"/>
    <x v="0"/>
    <n v="25"/>
    <x v="1"/>
    <x v="0"/>
    <x v="0"/>
    <x v="0"/>
    <x v="0"/>
    <s v="SKU7652"/>
    <x v="0"/>
    <s v="L"/>
    <n v="1"/>
    <s v="INR"/>
    <n v="1333"/>
    <s v="Bengaluru"/>
    <x v="2"/>
    <s v="560001"/>
    <s v="India"/>
    <s v="Yes"/>
  </r>
  <r>
    <n v="386"/>
    <s v="125-9448296-6320331"/>
    <n v="570773"/>
    <x v="1"/>
    <n v="20"/>
    <x v="1"/>
    <x v="0"/>
    <x v="0"/>
    <x v="0"/>
    <x v="1"/>
    <s v="SKU7159"/>
    <x v="1"/>
    <s v="M"/>
    <n v="1"/>
    <s v="INR"/>
    <n v="1918"/>
    <s v="Mohali"/>
    <x v="0"/>
    <s v="160055"/>
    <s v="India"/>
    <s v="Yes"/>
  </r>
  <r>
    <n v="387"/>
    <s v="272-1763559-7245419"/>
    <n v="259716"/>
    <x v="0"/>
    <n v="65"/>
    <x v="2"/>
    <x v="0"/>
    <x v="0"/>
    <x v="0"/>
    <x v="2"/>
    <s v="SKU3227"/>
    <x v="0"/>
    <s v="XXL"/>
    <n v="1"/>
    <s v="INR"/>
    <n v="1220"/>
    <s v="Kolkata"/>
    <x v="3"/>
    <s v="700001"/>
    <s v="India"/>
    <s v="Yes"/>
  </r>
  <r>
    <n v="388"/>
    <s v="565-1054860-3108949"/>
    <n v="340865"/>
    <x v="1"/>
    <n v="27"/>
    <x v="1"/>
    <x v="0"/>
    <x v="0"/>
    <x v="0"/>
    <x v="0"/>
    <s v="SKU9482"/>
    <x v="1"/>
    <s v="S"/>
    <n v="1"/>
    <s v="INR"/>
    <n v="702"/>
    <s v="Gurugram"/>
    <x v="1"/>
    <s v="122001"/>
    <s v="India"/>
    <s v="Yes"/>
  </r>
  <r>
    <n v="389"/>
    <s v="668-5420558-5832054"/>
    <n v="296450"/>
    <x v="0"/>
    <n v="65"/>
    <x v="2"/>
    <x v="0"/>
    <x v="0"/>
    <x v="0"/>
    <x v="2"/>
    <s v="SKU5535"/>
    <x v="2"/>
    <s v="M"/>
    <n v="1"/>
    <s v="INR"/>
    <n v="1930"/>
    <s v="Gurugram"/>
    <x v="1"/>
    <s v="122001"/>
    <s v="India"/>
    <s v="Yes"/>
  </r>
  <r>
    <n v="390"/>
    <s v="650-7901855-5222555"/>
    <n v="348574"/>
    <x v="1"/>
    <n v="68"/>
    <x v="2"/>
    <x v="0"/>
    <x v="0"/>
    <x v="0"/>
    <x v="3"/>
    <s v="SKU2194"/>
    <x v="2"/>
    <s v="S"/>
    <n v="1"/>
    <s v="INR"/>
    <n v="699"/>
    <s v="Mohali"/>
    <x v="0"/>
    <s v="160055"/>
    <s v="India"/>
    <s v="No"/>
  </r>
  <r>
    <n v="391"/>
    <s v="367-9746673-9032630"/>
    <n v="402922"/>
    <x v="0"/>
    <n v="20"/>
    <x v="1"/>
    <x v="0"/>
    <x v="0"/>
    <x v="0"/>
    <x v="0"/>
    <s v="SKU9239"/>
    <x v="1"/>
    <s v="XL"/>
    <n v="1"/>
    <s v="INR"/>
    <n v="1141"/>
    <s v="Gurugram"/>
    <x v="1"/>
    <s v="122001"/>
    <s v="India"/>
    <s v="No"/>
  </r>
  <r>
    <n v="392"/>
    <s v="514-2794538-3960475"/>
    <n v="626244"/>
    <x v="1"/>
    <n v="69"/>
    <x v="2"/>
    <x v="0"/>
    <x v="0"/>
    <x v="0"/>
    <x v="2"/>
    <s v="SKU9587"/>
    <x v="2"/>
    <s v="S"/>
    <n v="1"/>
    <s v="INR"/>
    <n v="863"/>
    <s v="Gurugram"/>
    <x v="1"/>
    <s v="122001"/>
    <s v="India"/>
    <s v="Yes"/>
  </r>
  <r>
    <n v="393"/>
    <s v="461-5573191-3289114"/>
    <n v="264941"/>
    <x v="0"/>
    <n v="61"/>
    <x v="2"/>
    <x v="0"/>
    <x v="0"/>
    <x v="0"/>
    <x v="0"/>
    <s v="SKU8848"/>
    <x v="0"/>
    <s v="XL"/>
    <n v="1"/>
    <s v="INR"/>
    <n v="1686"/>
    <s v="Mohali"/>
    <x v="0"/>
    <s v="160055"/>
    <s v="India"/>
    <s v="No"/>
  </r>
  <r>
    <n v="394"/>
    <s v="582-4558679-3312595"/>
    <n v="604906"/>
    <x v="1"/>
    <n v="45"/>
    <x v="0"/>
    <x v="0"/>
    <x v="0"/>
    <x v="0"/>
    <x v="0"/>
    <s v="SKU6459"/>
    <x v="2"/>
    <s v="S"/>
    <n v="1"/>
    <s v="INR"/>
    <n v="1620"/>
    <s v="Mohali"/>
    <x v="0"/>
    <s v="160055"/>
    <s v="India"/>
    <s v="No"/>
  </r>
  <r>
    <n v="395"/>
    <s v="826-9681207-8451341"/>
    <n v="346364"/>
    <x v="0"/>
    <n v="32"/>
    <x v="0"/>
    <x v="0"/>
    <x v="0"/>
    <x v="0"/>
    <x v="1"/>
    <s v="SKU5903"/>
    <x v="0"/>
    <s v="XL"/>
    <n v="1"/>
    <s v="INR"/>
    <n v="1783"/>
    <s v="Gurugram"/>
    <x v="1"/>
    <s v="122001"/>
    <s v="India"/>
    <s v="Yes"/>
  </r>
  <r>
    <n v="396"/>
    <s v="227-5398990-7305747"/>
    <n v="886982"/>
    <x v="1"/>
    <n v="50"/>
    <x v="2"/>
    <x v="0"/>
    <x v="0"/>
    <x v="0"/>
    <x v="2"/>
    <s v="SKU7948"/>
    <x v="0"/>
    <s v="S"/>
    <n v="1"/>
    <s v="INR"/>
    <n v="1986"/>
    <s v="Bengaluru"/>
    <x v="2"/>
    <s v="560001"/>
    <s v="India"/>
    <s v="Yes"/>
  </r>
  <r>
    <n v="397"/>
    <s v="619-8068246-6075498"/>
    <n v="930474"/>
    <x v="0"/>
    <n v="29"/>
    <x v="1"/>
    <x v="0"/>
    <x v="0"/>
    <x v="0"/>
    <x v="3"/>
    <s v="SKU3380"/>
    <x v="2"/>
    <s v="L"/>
    <n v="1"/>
    <s v="INR"/>
    <n v="1487"/>
    <s v="Bengaluru"/>
    <x v="2"/>
    <s v="560001"/>
    <s v="India"/>
    <s v="Yes"/>
  </r>
  <r>
    <n v="398"/>
    <s v="643-2536853-9733761"/>
    <n v="811463"/>
    <x v="1"/>
    <n v="70"/>
    <x v="2"/>
    <x v="0"/>
    <x v="0"/>
    <x v="0"/>
    <x v="0"/>
    <s v="SKU6789"/>
    <x v="1"/>
    <s v="L"/>
    <n v="1"/>
    <s v="INR"/>
    <n v="893"/>
    <s v="Kolkata"/>
    <x v="3"/>
    <s v="700001"/>
    <s v="India"/>
    <s v="Yes"/>
  </r>
  <r>
    <n v="399"/>
    <s v="649-5534429-3625189"/>
    <n v="336178"/>
    <x v="0"/>
    <n v="35"/>
    <x v="0"/>
    <x v="0"/>
    <x v="0"/>
    <x v="0"/>
    <x v="3"/>
    <s v="SKU2925"/>
    <x v="2"/>
    <s v="L"/>
    <n v="1"/>
    <s v="INR"/>
    <n v="1268"/>
    <s v="Bengaluru"/>
    <x v="2"/>
    <s v="560001"/>
    <s v="India"/>
    <s v="Yes"/>
  </r>
  <r>
    <n v="400"/>
    <s v="529-4917921-3323290"/>
    <n v="536742"/>
    <x v="1"/>
    <n v="70"/>
    <x v="2"/>
    <x v="0"/>
    <x v="0"/>
    <x v="0"/>
    <x v="0"/>
    <s v="SKU2464"/>
    <x v="0"/>
    <s v="L"/>
    <n v="1"/>
    <s v="INR"/>
    <n v="701"/>
    <s v="Gurugram"/>
    <x v="1"/>
    <s v="122001"/>
    <s v="India"/>
    <s v="Yes"/>
  </r>
  <r>
    <n v="401"/>
    <s v="902-5957070-3077262"/>
    <n v="279477"/>
    <x v="0"/>
    <n v="53"/>
    <x v="2"/>
    <x v="0"/>
    <x v="0"/>
    <x v="0"/>
    <x v="0"/>
    <s v="SKU9061"/>
    <x v="1"/>
    <s v="M"/>
    <n v="1"/>
    <s v="INR"/>
    <n v="1849"/>
    <s v="Bengaluru"/>
    <x v="2"/>
    <s v="560001"/>
    <s v="India"/>
    <s v="Yes"/>
  </r>
  <r>
    <n v="402"/>
    <s v="501-1159463-2631535"/>
    <n v="451338"/>
    <x v="1"/>
    <n v="43"/>
    <x v="0"/>
    <x v="0"/>
    <x v="0"/>
    <x v="0"/>
    <x v="1"/>
    <s v="SKU2618"/>
    <x v="0"/>
    <s v="L"/>
    <n v="1"/>
    <s v="INR"/>
    <n v="689"/>
    <s v="Kolkata"/>
    <x v="3"/>
    <s v="700001"/>
    <s v="India"/>
    <s v="No"/>
  </r>
  <r>
    <n v="403"/>
    <s v="515-7991446-3296415"/>
    <n v="660553"/>
    <x v="0"/>
    <n v="24"/>
    <x v="1"/>
    <x v="0"/>
    <x v="0"/>
    <x v="0"/>
    <x v="0"/>
    <s v="SKU9738"/>
    <x v="1"/>
    <s v="XXL"/>
    <n v="1"/>
    <s v="INR"/>
    <n v="1988"/>
    <s v="Gurugram"/>
    <x v="1"/>
    <s v="122001"/>
    <s v="India"/>
    <s v="No"/>
  </r>
  <r>
    <n v="404"/>
    <s v="116-7128197-5941079"/>
    <n v="753462"/>
    <x v="1"/>
    <n v="26"/>
    <x v="1"/>
    <x v="0"/>
    <x v="0"/>
    <x v="0"/>
    <x v="3"/>
    <s v="SKU2745"/>
    <x v="2"/>
    <s v="L"/>
    <n v="1"/>
    <s v="INR"/>
    <n v="636"/>
    <s v="Mohali"/>
    <x v="0"/>
    <s v="160055"/>
    <s v="India"/>
    <s v="Yes"/>
  </r>
  <r>
    <n v="405"/>
    <s v="999-4127219-5022107"/>
    <n v="630833"/>
    <x v="0"/>
    <n v="54"/>
    <x v="2"/>
    <x v="0"/>
    <x v="0"/>
    <x v="0"/>
    <x v="1"/>
    <s v="SKU1785"/>
    <x v="0"/>
    <s v="L"/>
    <n v="1"/>
    <s v="INR"/>
    <n v="1856"/>
    <s v="Kolkata"/>
    <x v="3"/>
    <s v="700001"/>
    <s v="India"/>
    <s v="Yes"/>
  </r>
  <r>
    <n v="406"/>
    <s v="763-1216261-2838313"/>
    <n v="745479"/>
    <x v="1"/>
    <n v="66"/>
    <x v="2"/>
    <x v="0"/>
    <x v="0"/>
    <x v="0"/>
    <x v="1"/>
    <s v="SKU6602"/>
    <x v="1"/>
    <s v="XXL"/>
    <n v="1"/>
    <s v="INR"/>
    <n v="1102"/>
    <s v="Kolkata"/>
    <x v="3"/>
    <s v="700001"/>
    <s v="India"/>
    <s v="Yes"/>
  </r>
  <r>
    <n v="407"/>
    <s v="511-1033103-1383221"/>
    <n v="175847"/>
    <x v="0"/>
    <n v="24"/>
    <x v="1"/>
    <x v="0"/>
    <x v="0"/>
    <x v="0"/>
    <x v="1"/>
    <s v="SKU8121"/>
    <x v="0"/>
    <s v="XXL"/>
    <n v="1"/>
    <s v="INR"/>
    <n v="1780"/>
    <s v="Kolkata"/>
    <x v="3"/>
    <s v="700001"/>
    <s v="India"/>
    <s v="No"/>
  </r>
  <r>
    <n v="408"/>
    <s v="283-5656839-3864670"/>
    <n v="772976"/>
    <x v="1"/>
    <n v="67"/>
    <x v="2"/>
    <x v="0"/>
    <x v="0"/>
    <x v="0"/>
    <x v="1"/>
    <s v="SKU6637"/>
    <x v="0"/>
    <s v="S"/>
    <n v="1"/>
    <s v="INR"/>
    <n v="823"/>
    <s v="Bengaluru"/>
    <x v="2"/>
    <s v="560001"/>
    <s v="India"/>
    <s v="No"/>
  </r>
  <r>
    <n v="409"/>
    <s v="264-5623746-5130757"/>
    <n v="845884"/>
    <x v="0"/>
    <n v="35"/>
    <x v="0"/>
    <x v="0"/>
    <x v="0"/>
    <x v="0"/>
    <x v="1"/>
    <s v="SKU8485"/>
    <x v="1"/>
    <s v="XL"/>
    <n v="1"/>
    <s v="INR"/>
    <n v="1718"/>
    <s v="Gurugram"/>
    <x v="1"/>
    <s v="122001"/>
    <s v="India"/>
    <s v="No"/>
  </r>
  <r>
    <n v="410"/>
    <s v="824-2139054-3720172"/>
    <n v="489426"/>
    <x v="1"/>
    <n v="67"/>
    <x v="2"/>
    <x v="0"/>
    <x v="0"/>
    <x v="0"/>
    <x v="2"/>
    <s v="SKU5772"/>
    <x v="2"/>
    <s v="XL"/>
    <n v="1"/>
    <s v="INR"/>
    <n v="1700"/>
    <s v="Kolkata"/>
    <x v="3"/>
    <s v="700001"/>
    <s v="India"/>
    <s v="Yes"/>
  </r>
  <r>
    <n v="411"/>
    <s v="297-7878019-8803001"/>
    <n v="398426"/>
    <x v="0"/>
    <n v="64"/>
    <x v="2"/>
    <x v="0"/>
    <x v="0"/>
    <x v="0"/>
    <x v="2"/>
    <s v="SKU5285"/>
    <x v="2"/>
    <s v="L"/>
    <n v="1"/>
    <s v="INR"/>
    <n v="637"/>
    <s v="Bengaluru"/>
    <x v="2"/>
    <s v="560001"/>
    <s v="India"/>
    <s v="No"/>
  </r>
  <r>
    <n v="412"/>
    <s v="321-8804452-5483454"/>
    <n v="528309"/>
    <x v="1"/>
    <n v="57"/>
    <x v="2"/>
    <x v="0"/>
    <x v="0"/>
    <x v="0"/>
    <x v="1"/>
    <s v="SKU6712"/>
    <x v="1"/>
    <s v="XL"/>
    <n v="1"/>
    <s v="INR"/>
    <n v="1597"/>
    <s v="Mohali"/>
    <x v="0"/>
    <s v="160055"/>
    <s v="India"/>
    <s v="Yes"/>
  </r>
  <r>
    <n v="413"/>
    <s v="334-6682744-6426749"/>
    <n v="893551"/>
    <x v="0"/>
    <n v="59"/>
    <x v="2"/>
    <x v="0"/>
    <x v="0"/>
    <x v="0"/>
    <x v="0"/>
    <s v="SKU9113"/>
    <x v="1"/>
    <s v="L"/>
    <n v="1"/>
    <s v="INR"/>
    <n v="454"/>
    <s v="Kolkata"/>
    <x v="3"/>
    <s v="700001"/>
    <s v="India"/>
    <s v="No"/>
  </r>
  <r>
    <n v="414"/>
    <s v="498-6684550-7654387"/>
    <n v="678081"/>
    <x v="1"/>
    <n v="48"/>
    <x v="0"/>
    <x v="0"/>
    <x v="0"/>
    <x v="0"/>
    <x v="1"/>
    <s v="SKU2221"/>
    <x v="1"/>
    <s v="S"/>
    <n v="1"/>
    <s v="INR"/>
    <n v="863"/>
    <s v="Gurugram"/>
    <x v="1"/>
    <s v="122001"/>
    <s v="India"/>
    <s v="Yes"/>
  </r>
  <r>
    <n v="415"/>
    <s v="608-4955062-7598640"/>
    <n v="946660"/>
    <x v="0"/>
    <n v="28"/>
    <x v="1"/>
    <x v="0"/>
    <x v="0"/>
    <x v="0"/>
    <x v="1"/>
    <s v="SKU5154"/>
    <x v="1"/>
    <s v="XXL"/>
    <n v="1"/>
    <s v="INR"/>
    <n v="549"/>
    <s v="Bengaluru"/>
    <x v="2"/>
    <s v="560001"/>
    <s v="India"/>
    <s v="Yes"/>
  </r>
  <r>
    <n v="416"/>
    <s v="414-8673932-2380325"/>
    <n v="167642"/>
    <x v="1"/>
    <n v="58"/>
    <x v="2"/>
    <x v="0"/>
    <x v="0"/>
    <x v="0"/>
    <x v="0"/>
    <s v="SKU8081"/>
    <x v="1"/>
    <s v="S"/>
    <n v="1"/>
    <s v="INR"/>
    <n v="1175"/>
    <s v="Gurugram"/>
    <x v="1"/>
    <s v="122001"/>
    <s v="India"/>
    <s v="Yes"/>
  </r>
  <r>
    <n v="417"/>
    <s v="501-2829564-9781414"/>
    <n v="831082"/>
    <x v="0"/>
    <n v="46"/>
    <x v="0"/>
    <x v="0"/>
    <x v="0"/>
    <x v="0"/>
    <x v="3"/>
    <s v="SKU2195"/>
    <x v="1"/>
    <s v="XXL"/>
    <n v="1"/>
    <s v="INR"/>
    <n v="631"/>
    <s v="Kolkata"/>
    <x v="3"/>
    <s v="700001"/>
    <s v="India"/>
    <s v="No"/>
  </r>
  <r>
    <n v="418"/>
    <s v="825-7002821-4151168"/>
    <n v="418677"/>
    <x v="1"/>
    <n v="27"/>
    <x v="1"/>
    <x v="0"/>
    <x v="0"/>
    <x v="0"/>
    <x v="0"/>
    <s v="SKU7081"/>
    <x v="1"/>
    <s v="XXL"/>
    <n v="1"/>
    <s v="INR"/>
    <n v="1467"/>
    <s v="Mohali"/>
    <x v="0"/>
    <s v="160055"/>
    <s v="India"/>
    <s v="Yes"/>
  </r>
  <r>
    <n v="419"/>
    <s v="183-9290971-1881623"/>
    <n v="300957"/>
    <x v="0"/>
    <n v="50"/>
    <x v="2"/>
    <x v="0"/>
    <x v="0"/>
    <x v="0"/>
    <x v="3"/>
    <s v="SKU7241"/>
    <x v="0"/>
    <s v="S"/>
    <n v="1"/>
    <s v="INR"/>
    <n v="1724"/>
    <s v="Mohali"/>
    <x v="0"/>
    <s v="160055"/>
    <s v="India"/>
    <s v="Yes"/>
  </r>
  <r>
    <n v="420"/>
    <s v="672-1618399-9116599"/>
    <n v="983370"/>
    <x v="1"/>
    <n v="62"/>
    <x v="2"/>
    <x v="0"/>
    <x v="0"/>
    <x v="0"/>
    <x v="1"/>
    <s v="SKU3679"/>
    <x v="2"/>
    <s v="L"/>
    <n v="1"/>
    <s v="INR"/>
    <n v="1165"/>
    <s v="Mohali"/>
    <x v="0"/>
    <s v="160055"/>
    <s v="India"/>
    <s v="No"/>
  </r>
  <r>
    <n v="421"/>
    <s v="773-5652695-1777065"/>
    <n v="357706"/>
    <x v="0"/>
    <n v="29"/>
    <x v="1"/>
    <x v="0"/>
    <x v="0"/>
    <x v="0"/>
    <x v="2"/>
    <s v="SKU6493"/>
    <x v="1"/>
    <s v="S"/>
    <n v="1"/>
    <s v="INR"/>
    <n v="527"/>
    <s v="Bengaluru"/>
    <x v="2"/>
    <s v="560001"/>
    <s v="India"/>
    <s v="No"/>
  </r>
  <r>
    <n v="422"/>
    <s v="259-6865193-2895858"/>
    <n v="171387"/>
    <x v="1"/>
    <n v="38"/>
    <x v="0"/>
    <x v="0"/>
    <x v="0"/>
    <x v="0"/>
    <x v="2"/>
    <s v="SKU7002"/>
    <x v="2"/>
    <s v="S"/>
    <n v="1"/>
    <s v="INR"/>
    <n v="1692"/>
    <s v="Gurugram"/>
    <x v="1"/>
    <s v="122001"/>
    <s v="India"/>
    <s v="Yes"/>
  </r>
  <r>
    <n v="423"/>
    <s v="467-1007082-5571919"/>
    <n v="160785"/>
    <x v="0"/>
    <n v="60"/>
    <x v="2"/>
    <x v="0"/>
    <x v="0"/>
    <x v="0"/>
    <x v="2"/>
    <s v="SKU2410"/>
    <x v="2"/>
    <s v="L"/>
    <n v="1"/>
    <s v="INR"/>
    <n v="1796"/>
    <s v="Mohali"/>
    <x v="0"/>
    <s v="160055"/>
    <s v="India"/>
    <s v="No"/>
  </r>
  <r>
    <n v="424"/>
    <s v="678-7216364-1993271"/>
    <n v="282706"/>
    <x v="1"/>
    <n v="38"/>
    <x v="0"/>
    <x v="0"/>
    <x v="0"/>
    <x v="0"/>
    <x v="3"/>
    <s v="SKU3468"/>
    <x v="0"/>
    <s v="XXL"/>
    <n v="1"/>
    <s v="INR"/>
    <n v="1260"/>
    <s v="Gurugram"/>
    <x v="1"/>
    <s v="122001"/>
    <s v="India"/>
    <s v="No"/>
  </r>
  <r>
    <n v="425"/>
    <s v="939-6019518-1909001"/>
    <n v="580506"/>
    <x v="0"/>
    <n v="69"/>
    <x v="2"/>
    <x v="0"/>
    <x v="0"/>
    <x v="0"/>
    <x v="0"/>
    <s v="SKU9425"/>
    <x v="2"/>
    <s v="M"/>
    <n v="1"/>
    <s v="INR"/>
    <n v="453"/>
    <s v="Mohali"/>
    <x v="0"/>
    <s v="160055"/>
    <s v="India"/>
    <s v="Yes"/>
  </r>
  <r>
    <n v="426"/>
    <s v="261-9035382-1657205"/>
    <n v="649818"/>
    <x v="1"/>
    <n v="37"/>
    <x v="0"/>
    <x v="0"/>
    <x v="0"/>
    <x v="0"/>
    <x v="2"/>
    <s v="SKU7855"/>
    <x v="1"/>
    <s v="M"/>
    <n v="1"/>
    <s v="INR"/>
    <n v="862"/>
    <s v="Bengaluru"/>
    <x v="2"/>
    <s v="560001"/>
    <s v="India"/>
    <s v="Yes"/>
  </r>
  <r>
    <n v="427"/>
    <s v="808-7715178-9350595"/>
    <n v="319917"/>
    <x v="0"/>
    <n v="30"/>
    <x v="0"/>
    <x v="0"/>
    <x v="0"/>
    <x v="0"/>
    <x v="2"/>
    <s v="SKU8828"/>
    <x v="0"/>
    <s v="L"/>
    <n v="1"/>
    <s v="INR"/>
    <n v="1601"/>
    <s v="Bengaluru"/>
    <x v="2"/>
    <s v="560001"/>
    <s v="India"/>
    <s v="No"/>
  </r>
  <r>
    <n v="428"/>
    <s v="202-5211729-7075251"/>
    <n v="771945"/>
    <x v="1"/>
    <n v="55"/>
    <x v="2"/>
    <x v="0"/>
    <x v="0"/>
    <x v="0"/>
    <x v="0"/>
    <s v="SKU3430"/>
    <x v="1"/>
    <s v="L"/>
    <n v="1"/>
    <s v="INR"/>
    <n v="1063"/>
    <s v="Mohali"/>
    <x v="0"/>
    <s v="160055"/>
    <s v="India"/>
    <s v="No"/>
  </r>
  <r>
    <n v="429"/>
    <s v="366-2158751-7992149"/>
    <n v="782787"/>
    <x v="0"/>
    <n v="53"/>
    <x v="2"/>
    <x v="0"/>
    <x v="0"/>
    <x v="0"/>
    <x v="0"/>
    <s v="SKU7307"/>
    <x v="2"/>
    <s v="XL"/>
    <n v="1"/>
    <s v="INR"/>
    <n v="1635"/>
    <s v="Kolkata"/>
    <x v="3"/>
    <s v="700001"/>
    <s v="India"/>
    <s v="Yes"/>
  </r>
  <r>
    <n v="430"/>
    <s v="200-5752325-9547889"/>
    <n v="172649"/>
    <x v="1"/>
    <n v="57"/>
    <x v="2"/>
    <x v="0"/>
    <x v="0"/>
    <x v="0"/>
    <x v="1"/>
    <s v="SKU3065"/>
    <x v="2"/>
    <s v="M"/>
    <n v="1"/>
    <s v="INR"/>
    <n v="512"/>
    <s v="Gurugram"/>
    <x v="1"/>
    <s v="122001"/>
    <s v="India"/>
    <s v="Yes"/>
  </r>
  <r>
    <n v="431"/>
    <s v="661-1630414-8866982"/>
    <n v="718153"/>
    <x v="0"/>
    <n v="63"/>
    <x v="2"/>
    <x v="0"/>
    <x v="0"/>
    <x v="0"/>
    <x v="1"/>
    <s v="SKU9113"/>
    <x v="0"/>
    <s v="XXL"/>
    <n v="1"/>
    <s v="INR"/>
    <n v="868"/>
    <s v="Kolkata"/>
    <x v="3"/>
    <s v="700001"/>
    <s v="India"/>
    <s v="No"/>
  </r>
  <r>
    <n v="432"/>
    <s v="842-1581725-2615255"/>
    <n v="392095"/>
    <x v="1"/>
    <n v="45"/>
    <x v="0"/>
    <x v="0"/>
    <x v="0"/>
    <x v="0"/>
    <x v="3"/>
    <s v="SKU5701"/>
    <x v="2"/>
    <s v="M"/>
    <n v="1"/>
    <s v="INR"/>
    <n v="327"/>
    <s v="Gurugram"/>
    <x v="1"/>
    <s v="122001"/>
    <s v="India"/>
    <s v="No"/>
  </r>
  <r>
    <n v="433"/>
    <s v="477-2100493-5709717"/>
    <n v="888733"/>
    <x v="0"/>
    <n v="64"/>
    <x v="2"/>
    <x v="0"/>
    <x v="0"/>
    <x v="0"/>
    <x v="0"/>
    <s v="SKU6602"/>
    <x v="0"/>
    <s v="M"/>
    <n v="1"/>
    <s v="INR"/>
    <n v="1377"/>
    <s v="Mohali"/>
    <x v="0"/>
    <s v="160055"/>
    <s v="India"/>
    <s v="Yes"/>
  </r>
  <r>
    <n v="434"/>
    <s v="154-3473553-3001942"/>
    <n v="734156"/>
    <x v="1"/>
    <n v="42"/>
    <x v="0"/>
    <x v="0"/>
    <x v="0"/>
    <x v="0"/>
    <x v="1"/>
    <s v="SKU5562"/>
    <x v="0"/>
    <s v="XXL"/>
    <n v="1"/>
    <s v="INR"/>
    <n v="1276"/>
    <s v="Mohali"/>
    <x v="0"/>
    <s v="160055"/>
    <s v="India"/>
    <s v="No"/>
  </r>
  <r>
    <n v="435"/>
    <s v="899-2448356-8952333"/>
    <n v="223927"/>
    <x v="0"/>
    <n v="42"/>
    <x v="0"/>
    <x v="0"/>
    <x v="0"/>
    <x v="0"/>
    <x v="2"/>
    <s v="SKU2498"/>
    <x v="1"/>
    <s v="XXL"/>
    <n v="1"/>
    <s v="INR"/>
    <n v="316"/>
    <s v="Kolkata"/>
    <x v="3"/>
    <s v="700001"/>
    <s v="India"/>
    <s v="No"/>
  </r>
  <r>
    <n v="436"/>
    <s v="178-5011482-2692121"/>
    <n v="181120"/>
    <x v="1"/>
    <n v="63"/>
    <x v="2"/>
    <x v="0"/>
    <x v="0"/>
    <x v="0"/>
    <x v="3"/>
    <s v="SKU1270"/>
    <x v="1"/>
    <s v="XL"/>
    <n v="1"/>
    <s v="INR"/>
    <n v="805"/>
    <s v="Bengaluru"/>
    <x v="2"/>
    <s v="560001"/>
    <s v="India"/>
    <s v="Yes"/>
  </r>
  <r>
    <n v="437"/>
    <s v="504-1625743-9244355"/>
    <n v="283883"/>
    <x v="0"/>
    <n v="23"/>
    <x v="1"/>
    <x v="0"/>
    <x v="0"/>
    <x v="0"/>
    <x v="3"/>
    <s v="SKU4091"/>
    <x v="2"/>
    <s v="XL"/>
    <n v="1"/>
    <s v="INR"/>
    <n v="554"/>
    <s v="Mohali"/>
    <x v="0"/>
    <s v="160055"/>
    <s v="India"/>
    <s v="No"/>
  </r>
  <r>
    <n v="438"/>
    <s v="809-3032130-2926088"/>
    <n v="545957"/>
    <x v="1"/>
    <n v="57"/>
    <x v="2"/>
    <x v="0"/>
    <x v="0"/>
    <x v="0"/>
    <x v="1"/>
    <s v="SKU4968"/>
    <x v="0"/>
    <s v="M"/>
    <n v="1"/>
    <s v="INR"/>
    <n v="431"/>
    <s v="Kolkata"/>
    <x v="3"/>
    <s v="700001"/>
    <s v="India"/>
    <s v="No"/>
  </r>
  <r>
    <n v="439"/>
    <s v="815-7064106-2647196"/>
    <n v="389120"/>
    <x v="0"/>
    <n v="47"/>
    <x v="0"/>
    <x v="0"/>
    <x v="0"/>
    <x v="0"/>
    <x v="0"/>
    <s v="SKU1297"/>
    <x v="1"/>
    <s v="XL"/>
    <n v="1"/>
    <s v="INR"/>
    <n v="832"/>
    <s v="Kolkata"/>
    <x v="3"/>
    <s v="700001"/>
    <s v="India"/>
    <s v="No"/>
  </r>
  <r>
    <n v="440"/>
    <s v="750-2068597-6054470"/>
    <n v="911566"/>
    <x v="1"/>
    <n v="19"/>
    <x v="1"/>
    <x v="0"/>
    <x v="0"/>
    <x v="0"/>
    <x v="3"/>
    <s v="SKU5033"/>
    <x v="2"/>
    <s v="XXL"/>
    <n v="1"/>
    <s v="INR"/>
    <n v="1186"/>
    <s v="Gurugram"/>
    <x v="1"/>
    <s v="122001"/>
    <s v="India"/>
    <s v="No"/>
  </r>
  <r>
    <n v="441"/>
    <s v="784-1632399-8877061"/>
    <n v="657548"/>
    <x v="0"/>
    <n v="61"/>
    <x v="2"/>
    <x v="0"/>
    <x v="0"/>
    <x v="0"/>
    <x v="0"/>
    <s v="SKU2247"/>
    <x v="2"/>
    <s v="L"/>
    <n v="1"/>
    <s v="INR"/>
    <n v="560"/>
    <s v="Bengaluru"/>
    <x v="2"/>
    <s v="560001"/>
    <s v="India"/>
    <s v="Yes"/>
  </r>
  <r>
    <n v="442"/>
    <s v="548-4552804-1398096"/>
    <n v="218076"/>
    <x v="1"/>
    <n v="25"/>
    <x v="1"/>
    <x v="0"/>
    <x v="0"/>
    <x v="0"/>
    <x v="1"/>
    <s v="SKU2476"/>
    <x v="2"/>
    <s v="XL"/>
    <n v="1"/>
    <s v="INR"/>
    <n v="856"/>
    <s v="Mohali"/>
    <x v="0"/>
    <s v="160055"/>
    <s v="India"/>
    <s v="Yes"/>
  </r>
  <r>
    <n v="443"/>
    <s v="459-7302048-3077812"/>
    <n v="628428"/>
    <x v="0"/>
    <n v="19"/>
    <x v="1"/>
    <x v="0"/>
    <x v="0"/>
    <x v="0"/>
    <x v="3"/>
    <s v="SKU6548"/>
    <x v="0"/>
    <s v="S"/>
    <n v="1"/>
    <s v="INR"/>
    <n v="1767"/>
    <s v="Mohali"/>
    <x v="0"/>
    <s v="160055"/>
    <s v="India"/>
    <s v="No"/>
  </r>
  <r>
    <n v="444"/>
    <s v="544-4680159-4586246"/>
    <n v="996046"/>
    <x v="1"/>
    <n v="22"/>
    <x v="1"/>
    <x v="0"/>
    <x v="0"/>
    <x v="0"/>
    <x v="1"/>
    <s v="SKU4135"/>
    <x v="0"/>
    <s v="L"/>
    <n v="1"/>
    <s v="INR"/>
    <n v="531"/>
    <s v="Mohali"/>
    <x v="0"/>
    <s v="160055"/>
    <s v="India"/>
    <s v="Yes"/>
  </r>
  <r>
    <n v="445"/>
    <s v="318-1456049-3646479"/>
    <n v="108883"/>
    <x v="0"/>
    <n v="38"/>
    <x v="0"/>
    <x v="0"/>
    <x v="0"/>
    <x v="0"/>
    <x v="3"/>
    <s v="SKU5379"/>
    <x v="1"/>
    <s v="M"/>
    <n v="1"/>
    <s v="INR"/>
    <n v="542"/>
    <s v="Bengaluru"/>
    <x v="2"/>
    <s v="560001"/>
    <s v="India"/>
    <s v="Yes"/>
  </r>
  <r>
    <n v="446"/>
    <s v="147-8313744-9825487"/>
    <n v="811395"/>
    <x v="1"/>
    <n v="68"/>
    <x v="2"/>
    <x v="0"/>
    <x v="0"/>
    <x v="0"/>
    <x v="1"/>
    <s v="SKU5683"/>
    <x v="2"/>
    <s v="L"/>
    <n v="1"/>
    <s v="INR"/>
    <n v="1844"/>
    <s v="Mohali"/>
    <x v="0"/>
    <s v="160055"/>
    <s v="India"/>
    <s v="No"/>
  </r>
  <r>
    <n v="447"/>
    <s v="735-1160742-7157756"/>
    <n v="143415"/>
    <x v="0"/>
    <n v="57"/>
    <x v="2"/>
    <x v="0"/>
    <x v="0"/>
    <x v="0"/>
    <x v="2"/>
    <s v="SKU9404"/>
    <x v="2"/>
    <s v="XXL"/>
    <n v="1"/>
    <s v="INR"/>
    <n v="1793"/>
    <s v="Gurugram"/>
    <x v="1"/>
    <s v="122001"/>
    <s v="India"/>
    <s v="Yes"/>
  </r>
  <r>
    <n v="448"/>
    <s v="512-3126258-6383156"/>
    <n v="362627"/>
    <x v="1"/>
    <n v="42"/>
    <x v="0"/>
    <x v="0"/>
    <x v="0"/>
    <x v="0"/>
    <x v="1"/>
    <s v="SKU1095"/>
    <x v="1"/>
    <s v="L"/>
    <n v="1"/>
    <s v="INR"/>
    <n v="897"/>
    <s v="Gurugram"/>
    <x v="1"/>
    <s v="122001"/>
    <s v="India"/>
    <s v="No"/>
  </r>
  <r>
    <n v="449"/>
    <s v="195-2457708-6534189"/>
    <n v="993706"/>
    <x v="0"/>
    <n v="31"/>
    <x v="0"/>
    <x v="0"/>
    <x v="0"/>
    <x v="0"/>
    <x v="2"/>
    <s v="SKU9084"/>
    <x v="0"/>
    <s v="M"/>
    <n v="1"/>
    <s v="INR"/>
    <n v="1296"/>
    <s v="Bengaluru"/>
    <x v="2"/>
    <s v="560001"/>
    <s v="India"/>
    <s v="Yes"/>
  </r>
  <r>
    <n v="450"/>
    <s v="605-1746242-5646827"/>
    <n v="687685"/>
    <x v="1"/>
    <n v="39"/>
    <x v="0"/>
    <x v="0"/>
    <x v="0"/>
    <x v="0"/>
    <x v="2"/>
    <s v="SKU6877"/>
    <x v="0"/>
    <s v="M"/>
    <n v="1"/>
    <s v="INR"/>
    <n v="1463"/>
    <s v="Bengaluru"/>
    <x v="2"/>
    <s v="560001"/>
    <s v="India"/>
    <s v="Yes"/>
  </r>
  <r>
    <n v="451"/>
    <s v="986-5368801-3844227"/>
    <n v="634741"/>
    <x v="0"/>
    <n v="65"/>
    <x v="2"/>
    <x v="0"/>
    <x v="0"/>
    <x v="0"/>
    <x v="0"/>
    <s v="SKU2126"/>
    <x v="2"/>
    <s v="S"/>
    <n v="1"/>
    <s v="INR"/>
    <n v="1270"/>
    <s v="Bengaluru"/>
    <x v="2"/>
    <s v="560001"/>
    <s v="India"/>
    <s v="No"/>
  </r>
  <r>
    <n v="452"/>
    <s v="885-1522745-6160526"/>
    <n v="271221"/>
    <x v="1"/>
    <n v="32"/>
    <x v="0"/>
    <x v="0"/>
    <x v="0"/>
    <x v="0"/>
    <x v="3"/>
    <s v="SKU6456"/>
    <x v="0"/>
    <s v="L"/>
    <n v="1"/>
    <s v="INR"/>
    <n v="966"/>
    <s v="Bengaluru"/>
    <x v="2"/>
    <s v="560001"/>
    <s v="India"/>
    <s v="No"/>
  </r>
  <r>
    <n v="453"/>
    <s v="113-8220046-9407448"/>
    <n v="983035"/>
    <x v="0"/>
    <n v="39"/>
    <x v="0"/>
    <x v="0"/>
    <x v="0"/>
    <x v="0"/>
    <x v="1"/>
    <s v="SKU1664"/>
    <x v="1"/>
    <s v="S"/>
    <n v="1"/>
    <s v="INR"/>
    <n v="1992"/>
    <s v="Kolkata"/>
    <x v="3"/>
    <s v="700001"/>
    <s v="India"/>
    <s v="No"/>
  </r>
  <r>
    <n v="454"/>
    <s v="537-2597675-7454689"/>
    <n v="246776"/>
    <x v="1"/>
    <n v="66"/>
    <x v="2"/>
    <x v="0"/>
    <x v="0"/>
    <x v="0"/>
    <x v="2"/>
    <s v="SKU7360"/>
    <x v="0"/>
    <s v="L"/>
    <n v="1"/>
    <s v="INR"/>
    <n v="1622"/>
    <s v="Mohali"/>
    <x v="0"/>
    <s v="160055"/>
    <s v="India"/>
    <s v="No"/>
  </r>
  <r>
    <n v="455"/>
    <s v="706-3425118-6751901"/>
    <n v="721464"/>
    <x v="0"/>
    <n v="18"/>
    <x v="1"/>
    <x v="0"/>
    <x v="0"/>
    <x v="0"/>
    <x v="0"/>
    <s v="SKU5608"/>
    <x v="1"/>
    <s v="M"/>
    <n v="1"/>
    <s v="INR"/>
    <n v="1781"/>
    <s v="Kolkata"/>
    <x v="3"/>
    <s v="700001"/>
    <s v="India"/>
    <s v="No"/>
  </r>
  <r>
    <n v="456"/>
    <s v="130-6423097-9729559"/>
    <n v="211133"/>
    <x v="1"/>
    <n v="19"/>
    <x v="1"/>
    <x v="0"/>
    <x v="0"/>
    <x v="0"/>
    <x v="3"/>
    <s v="SKU7035"/>
    <x v="2"/>
    <s v="XXL"/>
    <n v="1"/>
    <s v="INR"/>
    <n v="836"/>
    <s v="Mohali"/>
    <x v="0"/>
    <s v="160055"/>
    <s v="India"/>
    <s v="No"/>
  </r>
  <r>
    <n v="457"/>
    <s v="269-4414885-3249803"/>
    <n v="749323"/>
    <x v="0"/>
    <n v="34"/>
    <x v="0"/>
    <x v="0"/>
    <x v="0"/>
    <x v="0"/>
    <x v="1"/>
    <s v="SKU4404"/>
    <x v="2"/>
    <s v="L"/>
    <n v="1"/>
    <s v="INR"/>
    <n v="994"/>
    <s v="Gurugram"/>
    <x v="1"/>
    <s v="122001"/>
    <s v="India"/>
    <s v="Yes"/>
  </r>
  <r>
    <n v="458"/>
    <s v="222-2233990-9708507"/>
    <n v="192543"/>
    <x v="1"/>
    <n v="41"/>
    <x v="0"/>
    <x v="0"/>
    <x v="0"/>
    <x v="0"/>
    <x v="3"/>
    <s v="SKU9245"/>
    <x v="2"/>
    <s v="XXL"/>
    <n v="1"/>
    <s v="INR"/>
    <n v="1478"/>
    <s v="Kolkata"/>
    <x v="3"/>
    <s v="700001"/>
    <s v="India"/>
    <s v="No"/>
  </r>
  <r>
    <n v="459"/>
    <s v="636-6224371-6962930"/>
    <n v="541844"/>
    <x v="0"/>
    <n v="41"/>
    <x v="0"/>
    <x v="0"/>
    <x v="0"/>
    <x v="0"/>
    <x v="2"/>
    <s v="SKU9649"/>
    <x v="1"/>
    <s v="S"/>
    <n v="1"/>
    <s v="INR"/>
    <n v="735"/>
    <s v="Gurugram"/>
    <x v="1"/>
    <s v="122001"/>
    <s v="India"/>
    <s v="Yes"/>
  </r>
  <r>
    <n v="460"/>
    <s v="432-2422103-8326993"/>
    <n v="807773"/>
    <x v="1"/>
    <n v="66"/>
    <x v="2"/>
    <x v="0"/>
    <x v="0"/>
    <x v="0"/>
    <x v="0"/>
    <s v="SKU9491"/>
    <x v="0"/>
    <s v="S"/>
    <n v="1"/>
    <s v="INR"/>
    <n v="1872"/>
    <s v="Bengaluru"/>
    <x v="2"/>
    <s v="560001"/>
    <s v="India"/>
    <s v="No"/>
  </r>
  <r>
    <n v="461"/>
    <s v="687-4991098-1730338"/>
    <n v="345454"/>
    <x v="0"/>
    <n v="36"/>
    <x v="0"/>
    <x v="0"/>
    <x v="0"/>
    <x v="0"/>
    <x v="2"/>
    <s v="SKU9743"/>
    <x v="1"/>
    <s v="S"/>
    <n v="1"/>
    <s v="INR"/>
    <n v="963"/>
    <s v="Gurugram"/>
    <x v="1"/>
    <s v="122001"/>
    <s v="India"/>
    <s v="Yes"/>
  </r>
  <r>
    <n v="462"/>
    <s v="260-6647212-9554888"/>
    <n v="732116"/>
    <x v="1"/>
    <n v="60"/>
    <x v="2"/>
    <x v="0"/>
    <x v="0"/>
    <x v="0"/>
    <x v="2"/>
    <s v="SKU2682"/>
    <x v="0"/>
    <s v="M"/>
    <n v="1"/>
    <s v="INR"/>
    <n v="1961"/>
    <s v="Mohali"/>
    <x v="0"/>
    <s v="160055"/>
    <s v="India"/>
    <s v="No"/>
  </r>
  <r>
    <n v="463"/>
    <s v="160-2402316-7804313"/>
    <n v="523876"/>
    <x v="0"/>
    <n v="61"/>
    <x v="2"/>
    <x v="0"/>
    <x v="0"/>
    <x v="0"/>
    <x v="3"/>
    <s v="SKU7760"/>
    <x v="1"/>
    <s v="XL"/>
    <n v="1"/>
    <s v="INR"/>
    <n v="1473"/>
    <s v="Gurugram"/>
    <x v="1"/>
    <s v="122001"/>
    <s v="India"/>
    <s v="No"/>
  </r>
  <r>
    <n v="464"/>
    <s v="679-8162838-2574986"/>
    <n v="814010"/>
    <x v="1"/>
    <n v="69"/>
    <x v="2"/>
    <x v="0"/>
    <x v="0"/>
    <x v="0"/>
    <x v="3"/>
    <s v="SKU1963"/>
    <x v="0"/>
    <s v="XL"/>
    <n v="1"/>
    <s v="INR"/>
    <n v="1365"/>
    <s v="Bengaluru"/>
    <x v="2"/>
    <s v="560001"/>
    <s v="India"/>
    <s v="No"/>
  </r>
  <r>
    <n v="465"/>
    <s v="678-8954053-4843409"/>
    <n v="280764"/>
    <x v="0"/>
    <n v="50"/>
    <x v="2"/>
    <x v="0"/>
    <x v="0"/>
    <x v="0"/>
    <x v="0"/>
    <s v="SKU4658"/>
    <x v="1"/>
    <s v="L"/>
    <n v="1"/>
    <s v="INR"/>
    <n v="383"/>
    <s v="Gurugram"/>
    <x v="1"/>
    <s v="122001"/>
    <s v="India"/>
    <s v="No"/>
  </r>
  <r>
    <n v="466"/>
    <s v="337-3086647-6171140"/>
    <n v="110532"/>
    <x v="1"/>
    <n v="52"/>
    <x v="2"/>
    <x v="0"/>
    <x v="0"/>
    <x v="0"/>
    <x v="0"/>
    <s v="SKU1601"/>
    <x v="1"/>
    <s v="M"/>
    <n v="1"/>
    <s v="INR"/>
    <n v="320"/>
    <s v="Bengaluru"/>
    <x v="2"/>
    <s v="560001"/>
    <s v="India"/>
    <s v="Yes"/>
  </r>
  <r>
    <n v="467"/>
    <s v="793-6622872-5884647"/>
    <n v="365341"/>
    <x v="0"/>
    <n v="52"/>
    <x v="2"/>
    <x v="0"/>
    <x v="0"/>
    <x v="0"/>
    <x v="1"/>
    <s v="SKU2376"/>
    <x v="2"/>
    <s v="L"/>
    <n v="1"/>
    <s v="INR"/>
    <n v="1055"/>
    <s v="Gurugram"/>
    <x v="1"/>
    <s v="122001"/>
    <s v="India"/>
    <s v="No"/>
  </r>
  <r>
    <n v="468"/>
    <s v="349-6499664-5382360"/>
    <n v="488142"/>
    <x v="1"/>
    <n v="44"/>
    <x v="0"/>
    <x v="0"/>
    <x v="0"/>
    <x v="0"/>
    <x v="1"/>
    <s v="SKU2772"/>
    <x v="2"/>
    <s v="XL"/>
    <n v="1"/>
    <s v="INR"/>
    <n v="1190"/>
    <s v="Kolkata"/>
    <x v="3"/>
    <s v="700001"/>
    <s v="India"/>
    <s v="No"/>
  </r>
  <r>
    <n v="469"/>
    <s v="837-2161039-9028809"/>
    <n v="515920"/>
    <x v="0"/>
    <n v="22"/>
    <x v="1"/>
    <x v="0"/>
    <x v="0"/>
    <x v="0"/>
    <x v="1"/>
    <s v="SKU8482"/>
    <x v="2"/>
    <s v="S"/>
    <n v="1"/>
    <s v="INR"/>
    <n v="1529"/>
    <s v="Kolkata"/>
    <x v="3"/>
    <s v="700001"/>
    <s v="India"/>
    <s v="No"/>
  </r>
  <r>
    <n v="470"/>
    <s v="315-9317115-6633183"/>
    <n v="434725"/>
    <x v="1"/>
    <n v="40"/>
    <x v="0"/>
    <x v="0"/>
    <x v="0"/>
    <x v="0"/>
    <x v="2"/>
    <s v="SKU5475"/>
    <x v="1"/>
    <s v="XXL"/>
    <n v="1"/>
    <s v="INR"/>
    <n v="1236"/>
    <s v="Kolkata"/>
    <x v="3"/>
    <s v="700001"/>
    <s v="India"/>
    <s v="Yes"/>
  </r>
  <r>
    <n v="471"/>
    <s v="458-7568330-5998081"/>
    <n v="458955"/>
    <x v="0"/>
    <n v="44"/>
    <x v="0"/>
    <x v="0"/>
    <x v="0"/>
    <x v="0"/>
    <x v="0"/>
    <s v="SKU5069"/>
    <x v="2"/>
    <s v="XXL"/>
    <n v="1"/>
    <s v="INR"/>
    <n v="1148"/>
    <s v="Bengaluru"/>
    <x v="2"/>
    <s v="560001"/>
    <s v="India"/>
    <s v="No"/>
  </r>
  <r>
    <n v="472"/>
    <s v="555-8963284-7325432"/>
    <n v="284695"/>
    <x v="1"/>
    <n v="64"/>
    <x v="2"/>
    <x v="0"/>
    <x v="0"/>
    <x v="0"/>
    <x v="0"/>
    <s v="SKU4675"/>
    <x v="1"/>
    <s v="M"/>
    <n v="1"/>
    <s v="INR"/>
    <n v="337"/>
    <s v="Gurugram"/>
    <x v="1"/>
    <s v="122001"/>
    <s v="India"/>
    <s v="Yes"/>
  </r>
  <r>
    <n v="473"/>
    <s v="846-4647428-7942877"/>
    <n v="953335"/>
    <x v="0"/>
    <n v="22"/>
    <x v="1"/>
    <x v="0"/>
    <x v="0"/>
    <x v="0"/>
    <x v="2"/>
    <s v="SKU6394"/>
    <x v="2"/>
    <s v="XXL"/>
    <n v="1"/>
    <s v="INR"/>
    <n v="1260"/>
    <s v="Bengaluru"/>
    <x v="2"/>
    <s v="560001"/>
    <s v="India"/>
    <s v="Yes"/>
  </r>
  <r>
    <n v="474"/>
    <s v="362-5689382-6791800"/>
    <n v="724000"/>
    <x v="1"/>
    <n v="37"/>
    <x v="0"/>
    <x v="0"/>
    <x v="0"/>
    <x v="0"/>
    <x v="3"/>
    <s v="SKU1895"/>
    <x v="1"/>
    <s v="M"/>
    <n v="1"/>
    <s v="INR"/>
    <n v="1149"/>
    <s v="Bengaluru"/>
    <x v="2"/>
    <s v="560001"/>
    <s v="India"/>
    <s v="Yes"/>
  </r>
  <r>
    <n v="475"/>
    <s v="646-1528201-4692500"/>
    <n v="425694"/>
    <x v="0"/>
    <n v="60"/>
    <x v="2"/>
    <x v="0"/>
    <x v="0"/>
    <x v="0"/>
    <x v="2"/>
    <s v="SKU1517"/>
    <x v="0"/>
    <s v="XXL"/>
    <n v="1"/>
    <s v="INR"/>
    <n v="1138"/>
    <s v="Gurugram"/>
    <x v="1"/>
    <s v="122001"/>
    <s v="India"/>
    <s v="Yes"/>
  </r>
  <r>
    <n v="476"/>
    <s v="609-2719399-9672242"/>
    <n v="927467"/>
    <x v="1"/>
    <n v="41"/>
    <x v="0"/>
    <x v="0"/>
    <x v="0"/>
    <x v="0"/>
    <x v="1"/>
    <s v="SKU3814"/>
    <x v="1"/>
    <s v="XL"/>
    <n v="1"/>
    <s v="INR"/>
    <n v="1021"/>
    <s v="Mohali"/>
    <x v="0"/>
    <s v="160055"/>
    <s v="India"/>
    <s v="No"/>
  </r>
  <r>
    <n v="477"/>
    <s v="202-6084451-2100778"/>
    <n v="501106"/>
    <x v="0"/>
    <n v="35"/>
    <x v="0"/>
    <x v="0"/>
    <x v="0"/>
    <x v="0"/>
    <x v="3"/>
    <s v="SKU7962"/>
    <x v="1"/>
    <s v="L"/>
    <n v="1"/>
    <s v="INR"/>
    <n v="740"/>
    <s v="Mohali"/>
    <x v="0"/>
    <s v="160055"/>
    <s v="India"/>
    <s v="No"/>
  </r>
  <r>
    <n v="478"/>
    <s v="643-8832683-7514684"/>
    <n v="909360"/>
    <x v="1"/>
    <n v="25"/>
    <x v="1"/>
    <x v="0"/>
    <x v="0"/>
    <x v="0"/>
    <x v="0"/>
    <s v="SKU9993"/>
    <x v="1"/>
    <s v="M"/>
    <n v="1"/>
    <s v="INR"/>
    <n v="569"/>
    <s v="Kolkata"/>
    <x v="3"/>
    <s v="700001"/>
    <s v="India"/>
    <s v="No"/>
  </r>
  <r>
    <n v="479"/>
    <s v="580-7001668-2242340"/>
    <n v="626308"/>
    <x v="0"/>
    <n v="39"/>
    <x v="0"/>
    <x v="0"/>
    <x v="0"/>
    <x v="0"/>
    <x v="0"/>
    <s v="SKU6842"/>
    <x v="0"/>
    <s v="L"/>
    <n v="1"/>
    <s v="INR"/>
    <n v="656"/>
    <s v="Bengaluru"/>
    <x v="2"/>
    <s v="560001"/>
    <s v="India"/>
    <s v="Yes"/>
  </r>
  <r>
    <n v="480"/>
    <s v="255-3857739-9436795"/>
    <n v="719138"/>
    <x v="1"/>
    <n v="31"/>
    <x v="0"/>
    <x v="0"/>
    <x v="0"/>
    <x v="0"/>
    <x v="1"/>
    <s v="SKU6228"/>
    <x v="2"/>
    <s v="S"/>
    <n v="1"/>
    <s v="INR"/>
    <n v="730"/>
    <s v="Bengaluru"/>
    <x v="2"/>
    <s v="560001"/>
    <s v="India"/>
    <s v="No"/>
  </r>
  <r>
    <n v="481"/>
    <s v="718-9921908-8681594"/>
    <n v="900277"/>
    <x v="0"/>
    <n v="67"/>
    <x v="2"/>
    <x v="0"/>
    <x v="0"/>
    <x v="0"/>
    <x v="2"/>
    <s v="SKU1370"/>
    <x v="0"/>
    <s v="XXL"/>
    <n v="1"/>
    <s v="INR"/>
    <n v="801"/>
    <s v="Bengaluru"/>
    <x v="2"/>
    <s v="560001"/>
    <s v="India"/>
    <s v="Yes"/>
  </r>
  <r>
    <n v="482"/>
    <s v="479-6677957-3698107"/>
    <n v="542338"/>
    <x v="1"/>
    <n v="43"/>
    <x v="0"/>
    <x v="0"/>
    <x v="0"/>
    <x v="0"/>
    <x v="3"/>
    <s v="SKU8947"/>
    <x v="1"/>
    <s v="M"/>
    <n v="1"/>
    <s v="INR"/>
    <n v="1161"/>
    <s v="Mohali"/>
    <x v="0"/>
    <s v="160055"/>
    <s v="India"/>
    <s v="Yes"/>
  </r>
  <r>
    <n v="483"/>
    <s v="947-1406132-3280597"/>
    <n v="470639"/>
    <x v="0"/>
    <n v="65"/>
    <x v="2"/>
    <x v="0"/>
    <x v="0"/>
    <x v="0"/>
    <x v="2"/>
    <s v="SKU6477"/>
    <x v="1"/>
    <s v="XL"/>
    <n v="1"/>
    <s v="INR"/>
    <n v="321"/>
    <s v="Mohali"/>
    <x v="0"/>
    <s v="160055"/>
    <s v="India"/>
    <s v="Yes"/>
  </r>
  <r>
    <n v="484"/>
    <s v="955-3732580-8550254"/>
    <n v="580852"/>
    <x v="1"/>
    <n v="34"/>
    <x v="0"/>
    <x v="0"/>
    <x v="0"/>
    <x v="0"/>
    <x v="0"/>
    <s v="SKU9420"/>
    <x v="1"/>
    <s v="XXL"/>
    <n v="1"/>
    <s v="INR"/>
    <n v="1798"/>
    <s v="Gurugram"/>
    <x v="1"/>
    <s v="122001"/>
    <s v="India"/>
    <s v="Yes"/>
  </r>
  <r>
    <n v="485"/>
    <s v="512-5055773-1917945"/>
    <n v="754840"/>
    <x v="0"/>
    <n v="66"/>
    <x v="2"/>
    <x v="0"/>
    <x v="0"/>
    <x v="0"/>
    <x v="3"/>
    <s v="SKU3203"/>
    <x v="0"/>
    <s v="L"/>
    <n v="1"/>
    <s v="INR"/>
    <n v="1111"/>
    <s v="Kolkata"/>
    <x v="3"/>
    <s v="700001"/>
    <s v="India"/>
    <s v="No"/>
  </r>
  <r>
    <n v="486"/>
    <s v="807-3720079-4179303"/>
    <n v="834741"/>
    <x v="1"/>
    <n v="57"/>
    <x v="2"/>
    <x v="0"/>
    <x v="0"/>
    <x v="0"/>
    <x v="2"/>
    <s v="SKU4646"/>
    <x v="0"/>
    <s v="M"/>
    <n v="1"/>
    <s v="INR"/>
    <n v="973"/>
    <s v="Mohali"/>
    <x v="0"/>
    <s v="160055"/>
    <s v="India"/>
    <s v="No"/>
  </r>
  <r>
    <n v="487"/>
    <s v="443-5956101-2022083"/>
    <n v="347934"/>
    <x v="0"/>
    <n v="43"/>
    <x v="0"/>
    <x v="0"/>
    <x v="0"/>
    <x v="0"/>
    <x v="2"/>
    <s v="SKU1811"/>
    <x v="2"/>
    <s v="M"/>
    <n v="1"/>
    <s v="INR"/>
    <n v="1854"/>
    <s v="Gurugram"/>
    <x v="1"/>
    <s v="122001"/>
    <s v="India"/>
    <s v="Yes"/>
  </r>
  <r>
    <n v="488"/>
    <s v="637-8371290-2355745"/>
    <n v="561007"/>
    <x v="1"/>
    <n v="36"/>
    <x v="0"/>
    <x v="0"/>
    <x v="0"/>
    <x v="0"/>
    <x v="2"/>
    <s v="SKU6510"/>
    <x v="1"/>
    <s v="S"/>
    <n v="1"/>
    <s v="INR"/>
    <n v="954"/>
    <s v="Bengaluru"/>
    <x v="2"/>
    <s v="560001"/>
    <s v="India"/>
    <s v="No"/>
  </r>
  <r>
    <n v="489"/>
    <s v="645-4355224-3428955"/>
    <n v="868141"/>
    <x v="0"/>
    <n v="30"/>
    <x v="0"/>
    <x v="0"/>
    <x v="0"/>
    <x v="0"/>
    <x v="2"/>
    <s v="SKU3315"/>
    <x v="1"/>
    <s v="XXL"/>
    <n v="1"/>
    <s v="INR"/>
    <n v="1151"/>
    <s v="Kolkata"/>
    <x v="3"/>
    <s v="700001"/>
    <s v="India"/>
    <s v="No"/>
  </r>
  <r>
    <n v="490"/>
    <s v="765-6915816-5885383"/>
    <n v="507394"/>
    <x v="1"/>
    <n v="33"/>
    <x v="0"/>
    <x v="0"/>
    <x v="0"/>
    <x v="0"/>
    <x v="1"/>
    <s v="SKU3875"/>
    <x v="0"/>
    <s v="M"/>
    <n v="1"/>
    <s v="INR"/>
    <n v="1751"/>
    <s v="Gurugram"/>
    <x v="1"/>
    <s v="122001"/>
    <s v="India"/>
    <s v="No"/>
  </r>
  <r>
    <n v="491"/>
    <s v="113-2789298-4309813"/>
    <n v="717316"/>
    <x v="0"/>
    <n v="58"/>
    <x v="2"/>
    <x v="0"/>
    <x v="0"/>
    <x v="0"/>
    <x v="0"/>
    <s v="SKU3612"/>
    <x v="0"/>
    <s v="XXL"/>
    <n v="1"/>
    <s v="INR"/>
    <n v="1733"/>
    <s v="Kolkata"/>
    <x v="3"/>
    <s v="700001"/>
    <s v="India"/>
    <s v="Yes"/>
  </r>
  <r>
    <n v="492"/>
    <s v="682-8662798-9861864"/>
    <n v="541077"/>
    <x v="1"/>
    <n v="64"/>
    <x v="2"/>
    <x v="0"/>
    <x v="0"/>
    <x v="0"/>
    <x v="3"/>
    <s v="SKU3184"/>
    <x v="0"/>
    <s v="XXL"/>
    <n v="1"/>
    <s v="INR"/>
    <n v="1064"/>
    <s v="Kolkata"/>
    <x v="3"/>
    <s v="700001"/>
    <s v="India"/>
    <s v="Yes"/>
  </r>
  <r>
    <n v="493"/>
    <s v="674-5434368-1609490"/>
    <n v="946395"/>
    <x v="0"/>
    <n v="33"/>
    <x v="0"/>
    <x v="0"/>
    <x v="0"/>
    <x v="0"/>
    <x v="1"/>
    <s v="SKU3161"/>
    <x v="2"/>
    <s v="XL"/>
    <n v="1"/>
    <s v="INR"/>
    <n v="715"/>
    <s v="Gurugram"/>
    <x v="1"/>
    <s v="122001"/>
    <s v="India"/>
    <s v="No"/>
  </r>
  <r>
    <n v="494"/>
    <s v="358-5047071-9743925"/>
    <n v="266422"/>
    <x v="1"/>
    <n v="36"/>
    <x v="0"/>
    <x v="0"/>
    <x v="0"/>
    <x v="0"/>
    <x v="3"/>
    <s v="SKU3071"/>
    <x v="0"/>
    <s v="M"/>
    <n v="1"/>
    <s v="INR"/>
    <n v="623"/>
    <s v="Gurugram"/>
    <x v="1"/>
    <s v="122001"/>
    <s v="India"/>
    <s v="Yes"/>
  </r>
  <r>
    <n v="495"/>
    <s v="879-2489273-4954941"/>
    <n v="562384"/>
    <x v="0"/>
    <n v="31"/>
    <x v="0"/>
    <x v="0"/>
    <x v="0"/>
    <x v="0"/>
    <x v="0"/>
    <s v="SKU5652"/>
    <x v="1"/>
    <s v="L"/>
    <n v="1"/>
    <s v="INR"/>
    <n v="1061"/>
    <s v="Kolkata"/>
    <x v="3"/>
    <s v="700001"/>
    <s v="India"/>
    <s v="No"/>
  </r>
  <r>
    <n v="496"/>
    <s v="799-9146655-5459731"/>
    <n v="764302"/>
    <x v="1"/>
    <n v="38"/>
    <x v="0"/>
    <x v="0"/>
    <x v="0"/>
    <x v="0"/>
    <x v="0"/>
    <s v="SKU4685"/>
    <x v="2"/>
    <s v="L"/>
    <n v="1"/>
    <s v="INR"/>
    <n v="1883"/>
    <s v="Bengaluru"/>
    <x v="2"/>
    <s v="560001"/>
    <s v="India"/>
    <s v="Yes"/>
  </r>
  <r>
    <n v="497"/>
    <s v="544-7496638-4652115"/>
    <n v="884498"/>
    <x v="0"/>
    <n v="37"/>
    <x v="0"/>
    <x v="0"/>
    <x v="0"/>
    <x v="0"/>
    <x v="3"/>
    <s v="SKU3714"/>
    <x v="0"/>
    <s v="S"/>
    <n v="1"/>
    <s v="INR"/>
    <n v="824"/>
    <s v="Bengaluru"/>
    <x v="2"/>
    <s v="560001"/>
    <s v="India"/>
    <s v="Yes"/>
  </r>
  <r>
    <n v="498"/>
    <s v="741-3520258-1164136"/>
    <n v="274105"/>
    <x v="1"/>
    <n v="52"/>
    <x v="2"/>
    <x v="0"/>
    <x v="0"/>
    <x v="0"/>
    <x v="0"/>
    <s v="SKU7243"/>
    <x v="1"/>
    <s v="M"/>
    <n v="1"/>
    <s v="INR"/>
    <n v="1512"/>
    <s v="Kolkata"/>
    <x v="3"/>
    <s v="700001"/>
    <s v="India"/>
    <s v="No"/>
  </r>
  <r>
    <n v="499"/>
    <s v="968-9647044-9775658"/>
    <n v="157384"/>
    <x v="0"/>
    <n v="57"/>
    <x v="2"/>
    <x v="0"/>
    <x v="0"/>
    <x v="0"/>
    <x v="3"/>
    <s v="SKU5525"/>
    <x v="0"/>
    <s v="S"/>
    <n v="1"/>
    <s v="INR"/>
    <n v="1800"/>
    <s v="Kolkata"/>
    <x v="3"/>
    <s v="700001"/>
    <s v="India"/>
    <s v="No"/>
  </r>
  <r>
    <n v="500"/>
    <s v="195-6664009-3502963"/>
    <n v="364724"/>
    <x v="1"/>
    <n v="21"/>
    <x v="1"/>
    <x v="0"/>
    <x v="0"/>
    <x v="0"/>
    <x v="1"/>
    <s v="SKU8893"/>
    <x v="2"/>
    <s v="L"/>
    <n v="1"/>
    <s v="INR"/>
    <n v="1776"/>
    <s v="Kolkata"/>
    <x v="3"/>
    <s v="700001"/>
    <s v="India"/>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A90F0-DDC8-4E05-A85F-E7A37BF95871}"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21">
    <pivotField showAll="0"/>
    <pivotField dataField="1" showAll="0"/>
    <pivotField showAll="0"/>
    <pivotField showAll="0"/>
    <pivotField showAll="0"/>
    <pivotField showAll="0">
      <items count="4">
        <item x="0"/>
        <item x="2"/>
        <item x="1"/>
        <item t="default"/>
      </items>
    </pivotField>
    <pivotField showAll="0">
      <items count="2">
        <item x="0"/>
        <item t="default"/>
      </items>
    </pivotField>
    <pivotField axis="axisRow" showAll="0">
      <items count="2">
        <item x="0"/>
        <item t="default"/>
      </items>
    </pivotField>
    <pivotField showAll="0"/>
    <pivotField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2">
    <i>
      <x/>
    </i>
    <i t="grand">
      <x/>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01618D-86E3-4C3B-912C-38CEBC5CAA95}" name="PivotTable5"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showAll="0"/>
    <pivotField showAll="0">
      <items count="2">
        <item x="0"/>
        <item t="default"/>
      </items>
    </pivotField>
    <pivotField showAll="0"/>
    <pivotField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150656-0B69-4967-8C09-7BB01DFAA1AE}" name="PivotTable7"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4" firstHeaderRow="1" firstDataRow="1" firstDataCol="1"/>
  <pivotFields count="21">
    <pivotField showAll="0"/>
    <pivotField dataField="1" showAll="0"/>
    <pivotField showAll="0"/>
    <pivotField showAll="0"/>
    <pivotField showAll="0"/>
    <pivotField showAll="0"/>
    <pivotField showAll="0"/>
    <pivotField showAll="0">
      <items count="2">
        <item x="0"/>
        <item t="default"/>
      </items>
    </pivotField>
    <pivotField axis="axisRow" showAll="0">
      <items count="2">
        <item x="0"/>
        <item t="default"/>
      </items>
    </pivotField>
    <pivotField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s>
  <rowFields count="1">
    <field x="8"/>
  </rowFields>
  <rowItems count="1">
    <i>
      <x/>
    </i>
  </rowItems>
  <colItems count="1">
    <i/>
  </colItems>
  <dataFields count="1">
    <dataField name="Count of Ord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AB883-BF57-40CB-99E2-74B809F4120F}" name="PivotTable8"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dataField="1" showAll="0"/>
    <pivotField showAll="0"/>
    <pivotField axis="axisRow" showAll="0">
      <items count="5">
        <item x="1"/>
        <item x="2"/>
        <item x="0"/>
        <item x="3"/>
        <item t="default"/>
      </items>
    </pivotField>
    <pivotField showAll="0"/>
    <pivotField showAll="0"/>
    <pivotField showAll="0"/>
  </pivotFields>
  <rowFields count="1">
    <field x="17"/>
  </rowFields>
  <rowItems count="4">
    <i>
      <x/>
    </i>
    <i>
      <x v="1"/>
    </i>
    <i>
      <x v="2"/>
    </i>
    <i>
      <x v="3"/>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AEC37D-E48D-4E37-BC8C-F3D85A0CFAE7}" name="PivotTable9"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showAll="0"/>
    <pivotField showAll="0">
      <items count="2">
        <item x="0"/>
        <item t="default"/>
      </items>
    </pivotField>
    <pivotField showAll="0"/>
    <pivotField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156BCA-BC09-45A7-BA2D-03D6ACD238C2}" name="PivotTable10"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4" firstHeaderRow="1" firstDataRow="1" firstDataCol="1"/>
  <pivotFields count="21">
    <pivotField showAll="0"/>
    <pivotField dataField="1" showAll="0"/>
    <pivotField showAll="0"/>
    <pivotField showAll="0"/>
    <pivotField showAll="0"/>
    <pivotField showAll="0"/>
    <pivotField showAll="0"/>
    <pivotField showAll="0">
      <items count="2">
        <item x="0"/>
        <item t="default"/>
      </items>
    </pivotField>
    <pivotField showAll="0"/>
    <pivotField axis="axisRow" showAll="0">
      <items count="5">
        <item x="2"/>
        <item h="1" x="1"/>
        <item h="1" x="3"/>
        <item h="1" x="0"/>
        <item t="default"/>
      </items>
    </pivotField>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showAll="0"/>
  </pivotFields>
  <rowFields count="1">
    <field x="9"/>
  </rowFields>
  <rowItems count="1">
    <i>
      <x/>
    </i>
  </rowItems>
  <colItems count="1">
    <i/>
  </colItems>
  <dataFields count="1">
    <dataField name="Count of Order 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735AFC8-7C6A-4A26-95DF-F9A974841D36}" sourceName="month">
  <pivotTables>
    <pivotTable tabId="15" name="PivotTable10"/>
    <pivotTable tabId="8" name="PivotTable5"/>
    <pivotTable tabId="13" name="PivotTable9"/>
    <pivotTable tabId="11" name="PivotTable7"/>
  </pivotTables>
  <data>
    <tabular pivotCacheId="34332767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B78AD88-BF19-4154-A007-649C74E538FE}" sourceName="Channel">
  <pivotTables>
    <pivotTable tabId="15" name="PivotTable10"/>
    <pivotTable tabId="8" name="PivotTable5"/>
    <pivotTable tabId="13" name="PivotTable9"/>
    <pivotTable tabId="11" name="PivotTable7"/>
    <pivotTable tabId="6" name="PivotTable4"/>
    <pivotTable tabId="12" name="PivotTable8"/>
  </pivotTables>
  <data>
    <tabular pivotCacheId="343327676">
      <items count="4">
        <i x="2" s="1"/>
        <i x="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C5D596-7970-4542-A276-AE65AD4FD36A}" sourceName="Category">
  <pivotTables>
    <pivotTable tabId="15" name="PivotTable10"/>
    <pivotTable tabId="8" name="PivotTable5"/>
    <pivotTable tabId="13" name="PivotTable9"/>
    <pivotTable tabId="11" name="PivotTable7"/>
    <pivotTable tabId="6" name="PivotTable4"/>
    <pivotTable tabId="12" name="PivotTable8"/>
  </pivotTables>
  <data>
    <tabular pivotCacheId="343327676">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211B1A3-FA31-47A4-B779-CED9B59AAF20}" cache="Slicer_month" caption="month" rowHeight="241300"/>
  <slicer name="Channel" xr10:uid="{7641A5FA-6FF4-418F-803E-945E9E32D85E}" cache="Slicer_Channel" caption="Channel" rowHeight="241300"/>
  <slicer name="Category" xr10:uid="{EBACEEFC-33C4-4D94-BA4E-141F1ED8BDF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FDBB-0C3F-420B-B8FE-4DA83F0F2511}">
  <dimension ref="A1:R22"/>
  <sheetViews>
    <sheetView showGridLines="0" tabSelected="1" workbookViewId="0">
      <selection activeCell="N6" sqref="N6"/>
    </sheetView>
  </sheetViews>
  <sheetFormatPr defaultRowHeight="15" x14ac:dyDescent="0.25"/>
  <sheetData>
    <row r="1" spans="1:18" ht="23.25" x14ac:dyDescent="0.35">
      <c r="A1" s="4" t="s">
        <v>1044</v>
      </c>
      <c r="B1" s="4"/>
      <c r="C1" s="4"/>
      <c r="D1" s="4"/>
      <c r="E1" s="4"/>
      <c r="F1" s="4"/>
      <c r="G1" s="4"/>
      <c r="H1" s="4"/>
      <c r="I1" s="4"/>
      <c r="J1" s="4"/>
      <c r="K1" s="4"/>
      <c r="L1" s="4"/>
      <c r="M1" s="4"/>
      <c r="N1" s="4"/>
      <c r="O1" s="4"/>
      <c r="P1" s="4"/>
      <c r="Q1" s="4"/>
    </row>
    <row r="2" spans="1:18" x14ac:dyDescent="0.25">
      <c r="A2" s="5"/>
      <c r="B2" s="5"/>
      <c r="C2" s="5"/>
      <c r="D2" s="5"/>
      <c r="E2" s="5"/>
      <c r="F2" s="5"/>
      <c r="G2" s="5"/>
      <c r="H2" s="5"/>
      <c r="I2" s="5"/>
      <c r="J2" s="5"/>
      <c r="K2" s="5"/>
      <c r="L2" s="5"/>
      <c r="M2" s="5"/>
      <c r="N2" s="5"/>
      <c r="O2" s="5"/>
      <c r="P2" s="5"/>
      <c r="Q2" s="5"/>
      <c r="R2" s="5"/>
    </row>
    <row r="3" spans="1:18" x14ac:dyDescent="0.25">
      <c r="A3" s="5"/>
      <c r="B3" s="5"/>
      <c r="C3" s="5"/>
      <c r="D3" s="5"/>
      <c r="E3" s="5"/>
      <c r="F3" s="5"/>
      <c r="G3" s="5"/>
      <c r="H3" s="5"/>
      <c r="I3" s="5"/>
      <c r="J3" s="5"/>
      <c r="K3" s="5"/>
      <c r="L3" s="5"/>
      <c r="M3" s="5"/>
      <c r="N3" s="5"/>
      <c r="O3" s="5"/>
      <c r="P3" s="5"/>
      <c r="Q3" s="5"/>
      <c r="R3" s="5"/>
    </row>
    <row r="4" spans="1:18" x14ac:dyDescent="0.25">
      <c r="A4" s="5"/>
      <c r="B4" s="5"/>
      <c r="C4" s="5"/>
      <c r="D4" s="5"/>
      <c r="E4" s="5"/>
      <c r="F4" s="5"/>
      <c r="G4" s="5"/>
      <c r="H4" s="5"/>
      <c r="I4" s="5"/>
      <c r="J4" s="5"/>
      <c r="K4" s="5"/>
      <c r="L4" s="5"/>
      <c r="M4" s="5"/>
      <c r="N4" s="5"/>
      <c r="O4" s="5"/>
      <c r="P4" s="5"/>
      <c r="Q4" s="5"/>
      <c r="R4" s="5"/>
    </row>
    <row r="5" spans="1:18" x14ac:dyDescent="0.25">
      <c r="A5" s="5"/>
      <c r="B5" s="5"/>
      <c r="C5" s="5"/>
      <c r="D5" s="5"/>
      <c r="E5" s="5"/>
      <c r="F5" s="5"/>
      <c r="G5" s="5"/>
      <c r="H5" s="5"/>
      <c r="I5" s="5"/>
      <c r="J5" s="5"/>
      <c r="K5" s="5"/>
      <c r="L5" s="5"/>
      <c r="M5" s="5"/>
      <c r="N5" s="5"/>
      <c r="O5" s="5"/>
      <c r="P5" s="5"/>
      <c r="Q5" s="5"/>
      <c r="R5" s="5"/>
    </row>
    <row r="6" spans="1:18" x14ac:dyDescent="0.25">
      <c r="A6" s="5"/>
      <c r="B6" s="5"/>
      <c r="C6" s="5"/>
      <c r="D6" s="5"/>
      <c r="E6" s="5"/>
      <c r="F6" s="5"/>
      <c r="G6" s="5"/>
      <c r="H6" s="5"/>
      <c r="I6" s="5"/>
      <c r="J6" s="5"/>
      <c r="K6" s="5"/>
      <c r="L6" s="5"/>
      <c r="M6" s="5"/>
      <c r="N6" s="5"/>
      <c r="O6" s="5"/>
      <c r="P6" s="5"/>
      <c r="Q6" s="5"/>
      <c r="R6" s="5"/>
    </row>
    <row r="7" spans="1:18" x14ac:dyDescent="0.25">
      <c r="A7" s="5"/>
      <c r="B7" s="5"/>
      <c r="C7" s="5"/>
      <c r="D7" s="5"/>
      <c r="E7" s="5"/>
      <c r="F7" s="5"/>
      <c r="G7" s="5"/>
      <c r="H7" s="5"/>
      <c r="I7" s="5"/>
      <c r="J7" s="5"/>
      <c r="K7" s="5"/>
      <c r="L7" s="5"/>
      <c r="M7" s="6"/>
      <c r="N7" s="5"/>
      <c r="O7" s="5"/>
      <c r="P7" s="5"/>
      <c r="Q7" s="5"/>
      <c r="R7" s="5"/>
    </row>
    <row r="8" spans="1:18" x14ac:dyDescent="0.25">
      <c r="A8" s="5"/>
      <c r="B8" s="5"/>
      <c r="C8" s="5"/>
      <c r="D8" s="5"/>
      <c r="E8" s="5"/>
      <c r="F8" s="5"/>
      <c r="G8" s="5"/>
      <c r="H8" s="5"/>
      <c r="I8" s="5"/>
      <c r="J8" s="5"/>
      <c r="K8" s="5"/>
      <c r="L8" s="5"/>
      <c r="M8" s="5"/>
      <c r="N8" s="5"/>
      <c r="O8" s="5"/>
      <c r="P8" s="5"/>
      <c r="Q8" s="5"/>
      <c r="R8" s="5"/>
    </row>
    <row r="9" spans="1:18" x14ac:dyDescent="0.25">
      <c r="A9" s="5"/>
      <c r="B9" s="5"/>
      <c r="C9" s="5"/>
      <c r="D9" s="5"/>
      <c r="E9" s="5"/>
      <c r="F9" s="5"/>
      <c r="G9" s="5"/>
      <c r="H9" s="5"/>
      <c r="I9" s="5"/>
      <c r="J9" s="5"/>
      <c r="K9" s="5"/>
      <c r="L9" s="5"/>
      <c r="M9" s="5"/>
      <c r="N9" s="5"/>
      <c r="O9" s="5"/>
      <c r="P9" s="5"/>
      <c r="Q9" s="5"/>
      <c r="R9" s="5"/>
    </row>
    <row r="10" spans="1:18" x14ac:dyDescent="0.25">
      <c r="A10" s="5"/>
      <c r="B10" s="5"/>
      <c r="C10" s="5"/>
      <c r="D10" s="5"/>
      <c r="E10" s="5"/>
      <c r="F10" s="5"/>
      <c r="G10" s="5"/>
      <c r="H10" s="5"/>
      <c r="I10" s="5"/>
      <c r="J10" s="5"/>
      <c r="K10" s="5"/>
      <c r="L10" s="5"/>
      <c r="M10" s="5"/>
      <c r="N10" s="5"/>
      <c r="O10" s="5"/>
      <c r="P10" s="5"/>
      <c r="Q10" s="5"/>
      <c r="R10" s="5"/>
    </row>
    <row r="11" spans="1:18" x14ac:dyDescent="0.25">
      <c r="A11" s="5"/>
      <c r="B11" s="5"/>
      <c r="C11" s="5"/>
      <c r="D11" s="5"/>
      <c r="E11" s="5"/>
      <c r="F11" s="5"/>
      <c r="G11" s="5"/>
      <c r="H11" s="5"/>
      <c r="I11" s="5"/>
      <c r="J11" s="5"/>
      <c r="K11" s="5"/>
      <c r="L11" s="5"/>
      <c r="M11" s="5"/>
      <c r="N11" s="5"/>
      <c r="O11" s="5"/>
      <c r="P11" s="5"/>
      <c r="Q11" s="5"/>
      <c r="R11" s="5"/>
    </row>
    <row r="12" spans="1:18" x14ac:dyDescent="0.25">
      <c r="A12" s="5"/>
      <c r="B12" s="5"/>
      <c r="C12" s="5"/>
      <c r="D12" s="5"/>
      <c r="E12" s="5"/>
      <c r="F12" s="5"/>
      <c r="G12" s="5"/>
      <c r="H12" s="5"/>
      <c r="I12" s="5"/>
      <c r="J12" s="5"/>
      <c r="K12" s="5"/>
      <c r="L12" s="5"/>
      <c r="M12" s="5"/>
      <c r="N12" s="5"/>
      <c r="O12" s="5"/>
      <c r="P12" s="5"/>
      <c r="Q12" s="5"/>
      <c r="R12" s="5"/>
    </row>
    <row r="13" spans="1:18" x14ac:dyDescent="0.25">
      <c r="A13" s="5"/>
      <c r="B13" s="5"/>
      <c r="C13" s="5"/>
      <c r="D13" s="5"/>
      <c r="E13" s="5"/>
      <c r="F13" s="5"/>
      <c r="G13" s="5"/>
      <c r="H13" s="5"/>
      <c r="I13" s="5"/>
      <c r="J13" s="5"/>
      <c r="K13" s="5"/>
      <c r="L13" s="5"/>
      <c r="M13" s="5"/>
      <c r="N13" s="5"/>
      <c r="O13" s="5"/>
      <c r="P13" s="5"/>
      <c r="Q13" s="5"/>
      <c r="R13" s="5"/>
    </row>
    <row r="14" spans="1:18" x14ac:dyDescent="0.25">
      <c r="A14" s="5"/>
      <c r="B14" s="5"/>
      <c r="C14" s="5"/>
      <c r="D14" s="5"/>
      <c r="E14" s="5"/>
      <c r="F14" s="5"/>
      <c r="G14" s="5"/>
      <c r="H14" s="5"/>
      <c r="I14" s="5"/>
      <c r="J14" s="5"/>
      <c r="K14" s="5"/>
      <c r="L14" s="5"/>
      <c r="M14" s="5"/>
      <c r="N14" s="5"/>
      <c r="O14" s="5"/>
      <c r="P14" s="5"/>
      <c r="Q14" s="5"/>
      <c r="R14" s="5"/>
    </row>
    <row r="15" spans="1:18" x14ac:dyDescent="0.25">
      <c r="A15" s="5"/>
      <c r="B15" s="5"/>
      <c r="C15" s="5"/>
      <c r="D15" s="5"/>
      <c r="E15" s="5"/>
      <c r="F15" s="5"/>
      <c r="G15" s="5"/>
      <c r="H15" s="5"/>
      <c r="I15" s="5"/>
      <c r="J15" s="5"/>
      <c r="K15" s="5"/>
      <c r="L15" s="5"/>
      <c r="M15" s="5"/>
      <c r="N15" s="5"/>
      <c r="O15" s="5"/>
      <c r="P15" s="5"/>
      <c r="Q15" s="5"/>
      <c r="R15" s="5"/>
    </row>
    <row r="16" spans="1:18" x14ac:dyDescent="0.25">
      <c r="A16" s="5"/>
      <c r="B16" s="5"/>
      <c r="C16" s="5"/>
      <c r="D16" s="5"/>
      <c r="E16" s="5"/>
      <c r="F16" s="5"/>
      <c r="G16" s="5"/>
      <c r="H16" s="5"/>
      <c r="I16" s="5"/>
      <c r="J16" s="5"/>
      <c r="K16" s="5"/>
      <c r="L16" s="5"/>
      <c r="M16" s="5"/>
      <c r="N16" s="5"/>
      <c r="O16" s="5"/>
      <c r="P16" s="5"/>
      <c r="Q16" s="5"/>
      <c r="R16" s="5"/>
    </row>
    <row r="17" spans="1:18" x14ac:dyDescent="0.25">
      <c r="A17" s="5"/>
      <c r="B17" s="5"/>
      <c r="C17" s="5"/>
      <c r="D17" s="5"/>
      <c r="E17" s="5"/>
      <c r="F17" s="5"/>
      <c r="G17" s="5"/>
      <c r="H17" s="5"/>
      <c r="I17" s="5"/>
      <c r="J17" s="5"/>
      <c r="K17" s="5"/>
      <c r="L17" s="5"/>
      <c r="M17" s="5"/>
      <c r="N17" s="5"/>
      <c r="O17" s="5"/>
      <c r="P17" s="5"/>
      <c r="Q17" s="5"/>
      <c r="R17" s="5"/>
    </row>
    <row r="18" spans="1:18" x14ac:dyDescent="0.25">
      <c r="A18" s="5"/>
      <c r="B18" s="5"/>
      <c r="C18" s="5"/>
      <c r="D18" s="5"/>
      <c r="E18" s="5"/>
      <c r="F18" s="5"/>
      <c r="G18" s="5"/>
      <c r="H18" s="5"/>
      <c r="I18" s="5"/>
      <c r="J18" s="5"/>
      <c r="K18" s="5"/>
      <c r="L18" s="5"/>
      <c r="M18" s="5"/>
      <c r="N18" s="5"/>
      <c r="O18" s="5"/>
      <c r="P18" s="5"/>
      <c r="Q18" s="5"/>
      <c r="R18" s="5"/>
    </row>
    <row r="19" spans="1:18" x14ac:dyDescent="0.25">
      <c r="A19" s="5"/>
      <c r="B19" s="5"/>
      <c r="C19" s="5"/>
      <c r="D19" s="5"/>
      <c r="E19" s="5"/>
      <c r="F19" s="5"/>
      <c r="G19" s="5"/>
      <c r="H19" s="5"/>
      <c r="I19" s="5"/>
      <c r="J19" s="5"/>
      <c r="K19" s="5"/>
      <c r="L19" s="5"/>
      <c r="M19" s="5"/>
      <c r="N19" s="5"/>
      <c r="O19" s="5"/>
      <c r="P19" s="5"/>
      <c r="Q19" s="5"/>
      <c r="R19" s="5"/>
    </row>
    <row r="20" spans="1:18" x14ac:dyDescent="0.25">
      <c r="A20" s="5"/>
      <c r="B20" s="5"/>
      <c r="C20" s="5"/>
      <c r="D20" s="5"/>
      <c r="E20" s="5"/>
      <c r="F20" s="5"/>
      <c r="G20" s="5"/>
      <c r="H20" s="5"/>
      <c r="I20" s="5"/>
      <c r="J20" s="5"/>
      <c r="K20" s="5"/>
      <c r="L20" s="5"/>
      <c r="M20" s="5"/>
      <c r="N20" s="5"/>
      <c r="O20" s="5"/>
      <c r="P20" s="5"/>
      <c r="Q20" s="5"/>
      <c r="R20" s="5"/>
    </row>
    <row r="21" spans="1:18" x14ac:dyDescent="0.25">
      <c r="A21" s="5"/>
      <c r="B21" s="5"/>
      <c r="C21" s="5"/>
      <c r="D21" s="5"/>
      <c r="E21" s="5"/>
      <c r="F21" s="5"/>
      <c r="G21" s="5"/>
      <c r="H21" s="5"/>
      <c r="I21" s="5"/>
      <c r="J21" s="5"/>
      <c r="K21" s="5"/>
      <c r="L21" s="5"/>
      <c r="M21" s="5"/>
      <c r="N21" s="5"/>
      <c r="O21" s="5"/>
      <c r="P21" s="5"/>
      <c r="Q21" s="5"/>
      <c r="R21" s="5"/>
    </row>
    <row r="22" spans="1:18" x14ac:dyDescent="0.25">
      <c r="A22" s="5"/>
      <c r="B22" s="5"/>
      <c r="C22" s="5"/>
      <c r="D22" s="5"/>
      <c r="E22" s="5"/>
      <c r="F22" s="5"/>
      <c r="G22" s="5"/>
      <c r="H22" s="5"/>
      <c r="I22" s="5"/>
      <c r="J22" s="5"/>
      <c r="K22" s="5"/>
      <c r="L22" s="5"/>
      <c r="M22" s="5"/>
      <c r="N22" s="5"/>
      <c r="O22" s="5"/>
      <c r="P22" s="5"/>
      <c r="Q22" s="5"/>
      <c r="R22" s="5"/>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CB65-9A59-4C7F-8996-19FEDC009BD2}">
  <dimension ref="A3:C5"/>
  <sheetViews>
    <sheetView workbookViewId="0">
      <selection activeCell="A3" sqref="A3:C5"/>
    </sheetView>
  </sheetViews>
  <sheetFormatPr defaultRowHeight="15" x14ac:dyDescent="0.25"/>
  <cols>
    <col min="1" max="1" width="13.140625" bestFit="1" customWidth="1"/>
    <col min="2" max="2" width="14.85546875" bestFit="1" customWidth="1"/>
    <col min="3" max="3" width="16.5703125" bestFit="1" customWidth="1"/>
  </cols>
  <sheetData>
    <row r="3" spans="1:3" x14ac:dyDescent="0.25">
      <c r="A3" s="1" t="s">
        <v>1037</v>
      </c>
      <c r="B3" t="s">
        <v>1035</v>
      </c>
      <c r="C3" t="s">
        <v>1036</v>
      </c>
    </row>
    <row r="4" spans="1:3" x14ac:dyDescent="0.25">
      <c r="A4" s="2" t="s">
        <v>1038</v>
      </c>
      <c r="B4" s="3">
        <v>50900</v>
      </c>
      <c r="C4" s="3">
        <v>45</v>
      </c>
    </row>
    <row r="5" spans="1:3" x14ac:dyDescent="0.25">
      <c r="A5" s="2" t="s">
        <v>1040</v>
      </c>
      <c r="B5" s="3">
        <v>50900</v>
      </c>
      <c r="C5" s="3">
        <v>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E670C-EDFC-4593-9588-93B6B0C5D422}">
  <dimension ref="A3:B5"/>
  <sheetViews>
    <sheetView workbookViewId="0">
      <selection activeCell="H4" sqref="H4"/>
    </sheetView>
  </sheetViews>
  <sheetFormatPr defaultRowHeight="15" x14ac:dyDescent="0.25"/>
  <cols>
    <col min="1" max="1" width="13.140625" bestFit="1" customWidth="1"/>
    <col min="2" max="2" width="14.85546875" bestFit="1" customWidth="1"/>
  </cols>
  <sheetData>
    <row r="3" spans="1:2" x14ac:dyDescent="0.25">
      <c r="A3" s="1" t="s">
        <v>1037</v>
      </c>
      <c r="B3" t="s">
        <v>1035</v>
      </c>
    </row>
    <row r="4" spans="1:2" x14ac:dyDescent="0.25">
      <c r="A4" s="2" t="s">
        <v>32</v>
      </c>
      <c r="B4" s="3">
        <v>27607</v>
      </c>
    </row>
    <row r="5" spans="1:2" x14ac:dyDescent="0.25">
      <c r="A5" s="2" t="s">
        <v>18</v>
      </c>
      <c r="B5" s="3">
        <v>23293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CE6C-5854-4EE3-B2F1-0C9D87A0A969}">
  <dimension ref="A3:B4"/>
  <sheetViews>
    <sheetView workbookViewId="0">
      <selection activeCell="A3" sqref="A3:B4"/>
    </sheetView>
  </sheetViews>
  <sheetFormatPr defaultRowHeight="15" x14ac:dyDescent="0.25"/>
  <cols>
    <col min="1" max="1" width="13.140625" bestFit="1" customWidth="1"/>
    <col min="2" max="2" width="16.5703125" bestFit="1" customWidth="1"/>
  </cols>
  <sheetData>
    <row r="3" spans="1:2" x14ac:dyDescent="0.25">
      <c r="A3" s="1" t="s">
        <v>1037</v>
      </c>
      <c r="B3" t="s">
        <v>1036</v>
      </c>
    </row>
    <row r="4" spans="1:2" x14ac:dyDescent="0.25">
      <c r="A4" s="2" t="s">
        <v>20</v>
      </c>
      <c r="B4" s="3">
        <v>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6585-C9A2-4289-9A0C-98E321916397}">
  <dimension ref="A3:B7"/>
  <sheetViews>
    <sheetView workbookViewId="0">
      <selection activeCell="J7" sqref="J7"/>
    </sheetView>
  </sheetViews>
  <sheetFormatPr defaultRowHeight="15" x14ac:dyDescent="0.25"/>
  <cols>
    <col min="1" max="1" width="13.140625" bestFit="1" customWidth="1"/>
    <col min="2" max="2" width="14.85546875" bestFit="1" customWidth="1"/>
  </cols>
  <sheetData>
    <row r="3" spans="1:2" x14ac:dyDescent="0.25">
      <c r="A3" s="1" t="s">
        <v>1037</v>
      </c>
      <c r="B3" t="s">
        <v>1035</v>
      </c>
    </row>
    <row r="4" spans="1:2" x14ac:dyDescent="0.25">
      <c r="A4" s="2" t="s">
        <v>37</v>
      </c>
      <c r="B4" s="3">
        <v>17790</v>
      </c>
    </row>
    <row r="5" spans="1:2" x14ac:dyDescent="0.25">
      <c r="A5" s="2" t="s">
        <v>54</v>
      </c>
      <c r="B5" s="3">
        <v>11238</v>
      </c>
    </row>
    <row r="6" spans="1:2" x14ac:dyDescent="0.25">
      <c r="A6" s="2" t="s">
        <v>27</v>
      </c>
      <c r="B6" s="3">
        <v>11012</v>
      </c>
    </row>
    <row r="7" spans="1:2" x14ac:dyDescent="0.25">
      <c r="A7" s="2" t="s">
        <v>64</v>
      </c>
      <c r="B7" s="3">
        <v>10860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CC87-9945-46A7-BFE9-67032BAD26BE}">
  <dimension ref="A3:C7"/>
  <sheetViews>
    <sheetView workbookViewId="0">
      <selection activeCell="A3" sqref="A3:C7"/>
    </sheetView>
  </sheetViews>
  <sheetFormatPr defaultRowHeight="15" x14ac:dyDescent="0.25"/>
  <cols>
    <col min="1" max="1" width="16.5703125" bestFit="1" customWidth="1"/>
    <col min="2" max="2" width="16.28515625" bestFit="1" customWidth="1"/>
    <col min="3" max="3" width="8.140625" bestFit="1" customWidth="1"/>
    <col min="4" max="4" width="11.28515625" bestFit="1" customWidth="1"/>
  </cols>
  <sheetData>
    <row r="3" spans="1:3" x14ac:dyDescent="0.25">
      <c r="A3" s="1" t="s">
        <v>1036</v>
      </c>
      <c r="B3" s="1" t="s">
        <v>1045</v>
      </c>
    </row>
    <row r="4" spans="1:3" x14ac:dyDescent="0.25">
      <c r="A4" s="1" t="s">
        <v>1037</v>
      </c>
      <c r="B4" t="s">
        <v>32</v>
      </c>
      <c r="C4" t="s">
        <v>18</v>
      </c>
    </row>
    <row r="5" spans="1:3" x14ac:dyDescent="0.25">
      <c r="A5" s="2" t="s">
        <v>1041</v>
      </c>
      <c r="B5" s="7">
        <v>0.22222222222222221</v>
      </c>
      <c r="C5" s="7">
        <v>0.13333333333333333</v>
      </c>
    </row>
    <row r="6" spans="1:3" x14ac:dyDescent="0.25">
      <c r="A6" s="2" t="s">
        <v>1042</v>
      </c>
      <c r="B6" s="7">
        <v>0.24444444444444444</v>
      </c>
      <c r="C6" s="7">
        <v>0.17777777777777778</v>
      </c>
    </row>
    <row r="7" spans="1:3" x14ac:dyDescent="0.25">
      <c r="A7" s="2" t="s">
        <v>1043</v>
      </c>
      <c r="B7" s="7">
        <v>0.13333333333333333</v>
      </c>
      <c r="C7" s="7">
        <v>8.8888888888888892E-2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D50A-E6B4-47A5-BEA1-4EB20CA711F8}">
  <dimension ref="A3:B4"/>
  <sheetViews>
    <sheetView workbookViewId="0">
      <selection activeCell="I11" sqref="I11"/>
    </sheetView>
  </sheetViews>
  <sheetFormatPr defaultRowHeight="15" x14ac:dyDescent="0.25"/>
  <cols>
    <col min="1" max="1" width="13.140625" bestFit="1" customWidth="1"/>
    <col min="2" max="2" width="16.5703125" bestFit="1" customWidth="1"/>
  </cols>
  <sheetData>
    <row r="3" spans="1:2" x14ac:dyDescent="0.25">
      <c r="A3" s="1" t="s">
        <v>1037</v>
      </c>
      <c r="B3" t="s">
        <v>1036</v>
      </c>
    </row>
    <row r="4" spans="1:2" x14ac:dyDescent="0.25">
      <c r="A4" s="2" t="s">
        <v>40</v>
      </c>
      <c r="B4" s="7">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workbookViewId="0">
      <selection activeCell="C6" sqref="C6"/>
    </sheetView>
  </sheetViews>
  <sheetFormatPr defaultRowHeight="15" x14ac:dyDescent="0.25"/>
  <cols>
    <col min="1" max="1" width="6" bestFit="1" customWidth="1"/>
    <col min="2" max="2" width="19.7109375" bestFit="1" customWidth="1"/>
    <col min="3" max="3" width="7.140625" bestFit="1" customWidth="1"/>
    <col min="4" max="4" width="8" bestFit="1" customWidth="1"/>
    <col min="5" max="5" width="6" customWidth="1"/>
    <col min="6" max="6" width="10.28515625" bestFit="1" customWidth="1"/>
    <col min="7" max="7" width="10.42578125" bestFit="1" customWidth="1"/>
    <col min="8" max="8" width="10.42578125" customWidth="1"/>
    <col min="9" max="9" width="9.7109375" bestFit="1" customWidth="1"/>
    <col min="11" max="11" width="8.42578125" bestFit="1" customWidth="1"/>
    <col min="14" max="14" width="4.140625" bestFit="1" customWidth="1"/>
    <col min="15" max="15" width="8.85546875" bestFit="1" customWidth="1"/>
    <col min="16" max="16" width="8.140625" bestFit="1" customWidth="1"/>
    <col min="17" max="17" width="10" bestFit="1" customWidth="1"/>
    <col min="18" max="18" width="12" bestFit="1" customWidth="1"/>
    <col min="19" max="19" width="16.42578125" bestFit="1" customWidth="1"/>
    <col min="20" max="20" width="12.5703125" bestFit="1" customWidth="1"/>
  </cols>
  <sheetData>
    <row r="1" spans="1:21" x14ac:dyDescent="0.25">
      <c r="A1" t="s">
        <v>0</v>
      </c>
      <c r="B1" t="s">
        <v>1</v>
      </c>
      <c r="C1" t="s">
        <v>2</v>
      </c>
      <c r="D1" t="s">
        <v>3</v>
      </c>
      <c r="E1" t="s">
        <v>1032</v>
      </c>
      <c r="F1" t="s">
        <v>1034</v>
      </c>
      <c r="G1" t="s">
        <v>1033</v>
      </c>
      <c r="H1" t="s">
        <v>1039</v>
      </c>
      <c r="I1" t="s">
        <v>4</v>
      </c>
      <c r="J1" t="s">
        <v>5</v>
      </c>
      <c r="K1" t="s">
        <v>6</v>
      </c>
      <c r="L1" t="s">
        <v>7</v>
      </c>
      <c r="M1" t="s">
        <v>8</v>
      </c>
      <c r="N1" t="s">
        <v>9</v>
      </c>
      <c r="O1" t="s">
        <v>10</v>
      </c>
      <c r="P1" t="s">
        <v>11</v>
      </c>
      <c r="Q1" t="s">
        <v>12</v>
      </c>
      <c r="R1" t="s">
        <v>13</v>
      </c>
      <c r="S1" t="s">
        <v>14</v>
      </c>
      <c r="T1" t="s">
        <v>15</v>
      </c>
      <c r="U1" t="s">
        <v>16</v>
      </c>
    </row>
    <row r="2" spans="1:21" x14ac:dyDescent="0.25">
      <c r="A2">
        <v>1</v>
      </c>
      <c r="B2" t="s">
        <v>17</v>
      </c>
      <c r="C2">
        <v>303013</v>
      </c>
      <c r="D2" t="s">
        <v>18</v>
      </c>
      <c r="E2">
        <v>44</v>
      </c>
      <c r="F2" t="str">
        <f>IF(E2&gt;=50,"senior",IF(E2&gt;=30,"adult","teenager"))</f>
        <v>adult</v>
      </c>
      <c r="G2" t="s">
        <v>19</v>
      </c>
      <c r="H2" t="str">
        <f>TEXT(G2,"mmm")</f>
        <v>Dec</v>
      </c>
      <c r="I2" t="s">
        <v>20</v>
      </c>
      <c r="J2" t="s">
        <v>21</v>
      </c>
      <c r="K2" t="s">
        <v>22</v>
      </c>
      <c r="L2" t="s">
        <v>23</v>
      </c>
      <c r="M2" t="s">
        <v>24</v>
      </c>
      <c r="N2">
        <v>1</v>
      </c>
      <c r="O2" t="s">
        <v>25</v>
      </c>
      <c r="P2">
        <v>1322</v>
      </c>
      <c r="Q2" t="s">
        <v>26</v>
      </c>
      <c r="R2" t="s">
        <v>27</v>
      </c>
      <c r="S2" t="s">
        <v>28</v>
      </c>
      <c r="T2" t="s">
        <v>29</v>
      </c>
      <c r="U2" t="s">
        <v>30</v>
      </c>
    </row>
    <row r="3" spans="1:21" x14ac:dyDescent="0.25">
      <c r="A3">
        <v>2</v>
      </c>
      <c r="B3" t="s">
        <v>31</v>
      </c>
      <c r="C3">
        <v>514986</v>
      </c>
      <c r="D3" t="s">
        <v>32</v>
      </c>
      <c r="E3">
        <v>45</v>
      </c>
      <c r="F3" t="str">
        <f t="shared" ref="F3:F66" si="0">IF(E3&gt;=50,"senior",IF(E3&gt;=30,"adult","teenager"))</f>
        <v>adult</v>
      </c>
      <c r="G3" t="s">
        <v>19</v>
      </c>
      <c r="H3" t="str">
        <f t="shared" ref="H3:H66" si="1">TEXT(G3,"mmm")</f>
        <v>Dec</v>
      </c>
      <c r="I3" t="s">
        <v>20</v>
      </c>
      <c r="J3" t="s">
        <v>33</v>
      </c>
      <c r="K3" t="s">
        <v>34</v>
      </c>
      <c r="L3" t="s">
        <v>23</v>
      </c>
      <c r="M3" t="s">
        <v>35</v>
      </c>
      <c r="N3">
        <v>1</v>
      </c>
      <c r="O3" t="s">
        <v>25</v>
      </c>
      <c r="P3">
        <v>409</v>
      </c>
      <c r="Q3" t="s">
        <v>36</v>
      </c>
      <c r="R3" t="s">
        <v>37</v>
      </c>
      <c r="S3" t="s">
        <v>38</v>
      </c>
      <c r="T3" t="s">
        <v>29</v>
      </c>
      <c r="U3" t="s">
        <v>30</v>
      </c>
    </row>
    <row r="4" spans="1:21" x14ac:dyDescent="0.25">
      <c r="A4">
        <v>3</v>
      </c>
      <c r="B4" t="s">
        <v>39</v>
      </c>
      <c r="C4">
        <v>188020</v>
      </c>
      <c r="D4" t="s">
        <v>18</v>
      </c>
      <c r="E4">
        <v>24</v>
      </c>
      <c r="F4" t="str">
        <f t="shared" si="0"/>
        <v>teenager</v>
      </c>
      <c r="G4" t="s">
        <v>19</v>
      </c>
      <c r="H4" t="str">
        <f t="shared" si="1"/>
        <v>Dec</v>
      </c>
      <c r="I4" t="s">
        <v>20</v>
      </c>
      <c r="J4" t="s">
        <v>40</v>
      </c>
      <c r="K4" t="s">
        <v>41</v>
      </c>
      <c r="L4" t="s">
        <v>42</v>
      </c>
      <c r="M4" t="s">
        <v>35</v>
      </c>
      <c r="N4">
        <v>1</v>
      </c>
      <c r="O4" t="s">
        <v>25</v>
      </c>
      <c r="P4">
        <v>1503</v>
      </c>
      <c r="Q4" t="s">
        <v>26</v>
      </c>
      <c r="R4" t="s">
        <v>27</v>
      </c>
      <c r="S4" t="s">
        <v>28</v>
      </c>
      <c r="T4" t="s">
        <v>29</v>
      </c>
      <c r="U4" t="s">
        <v>43</v>
      </c>
    </row>
    <row r="5" spans="1:21" x14ac:dyDescent="0.25">
      <c r="A5">
        <v>4</v>
      </c>
      <c r="B5" t="s">
        <v>44</v>
      </c>
      <c r="C5">
        <v>851990</v>
      </c>
      <c r="D5" t="s">
        <v>32</v>
      </c>
      <c r="E5">
        <v>59</v>
      </c>
      <c r="F5" t="str">
        <f t="shared" si="0"/>
        <v>senior</v>
      </c>
      <c r="G5" t="s">
        <v>19</v>
      </c>
      <c r="H5" t="str">
        <f t="shared" si="1"/>
        <v>Dec</v>
      </c>
      <c r="I5" t="s">
        <v>20</v>
      </c>
      <c r="J5" t="s">
        <v>45</v>
      </c>
      <c r="K5" t="s">
        <v>46</v>
      </c>
      <c r="L5" t="s">
        <v>23</v>
      </c>
      <c r="M5" t="s">
        <v>47</v>
      </c>
      <c r="N5">
        <v>1</v>
      </c>
      <c r="O5" t="s">
        <v>25</v>
      </c>
      <c r="P5">
        <v>643</v>
      </c>
      <c r="Q5" t="s">
        <v>26</v>
      </c>
      <c r="R5" t="s">
        <v>27</v>
      </c>
      <c r="S5" t="s">
        <v>28</v>
      </c>
      <c r="T5" t="s">
        <v>29</v>
      </c>
      <c r="U5" t="s">
        <v>30</v>
      </c>
    </row>
    <row r="6" spans="1:21" x14ac:dyDescent="0.25">
      <c r="A6">
        <v>5</v>
      </c>
      <c r="B6" t="s">
        <v>48</v>
      </c>
      <c r="C6">
        <v>531474</v>
      </c>
      <c r="D6" t="s">
        <v>18</v>
      </c>
      <c r="E6">
        <v>63</v>
      </c>
      <c r="F6" t="str">
        <f t="shared" si="0"/>
        <v>senior</v>
      </c>
      <c r="G6" t="s">
        <v>19</v>
      </c>
      <c r="H6" t="str">
        <f t="shared" si="1"/>
        <v>Dec</v>
      </c>
      <c r="I6" t="s">
        <v>20</v>
      </c>
      <c r="J6" t="s">
        <v>40</v>
      </c>
      <c r="K6" t="s">
        <v>49</v>
      </c>
      <c r="L6" t="s">
        <v>42</v>
      </c>
      <c r="M6" t="s">
        <v>50</v>
      </c>
      <c r="N6">
        <v>1</v>
      </c>
      <c r="O6" t="s">
        <v>25</v>
      </c>
      <c r="P6">
        <v>732</v>
      </c>
      <c r="Q6" t="s">
        <v>36</v>
      </c>
      <c r="R6" t="s">
        <v>37</v>
      </c>
      <c r="S6" t="s">
        <v>38</v>
      </c>
      <c r="T6" t="s">
        <v>29</v>
      </c>
      <c r="U6" t="s">
        <v>43</v>
      </c>
    </row>
    <row r="7" spans="1:21" x14ac:dyDescent="0.25">
      <c r="A7">
        <v>6</v>
      </c>
      <c r="B7" t="s">
        <v>51</v>
      </c>
      <c r="C7">
        <v>379139</v>
      </c>
      <c r="D7" t="s">
        <v>32</v>
      </c>
      <c r="E7">
        <v>35</v>
      </c>
      <c r="F7" t="str">
        <f t="shared" si="0"/>
        <v>adult</v>
      </c>
      <c r="G7" t="s">
        <v>19</v>
      </c>
      <c r="H7" t="str">
        <f t="shared" si="1"/>
        <v>Dec</v>
      </c>
      <c r="I7" t="s">
        <v>20</v>
      </c>
      <c r="J7" t="s">
        <v>40</v>
      </c>
      <c r="K7" t="s">
        <v>52</v>
      </c>
      <c r="L7" t="s">
        <v>42</v>
      </c>
      <c r="M7" t="s">
        <v>24</v>
      </c>
      <c r="N7">
        <v>1</v>
      </c>
      <c r="O7" t="s">
        <v>25</v>
      </c>
      <c r="P7">
        <v>1075</v>
      </c>
      <c r="Q7" t="s">
        <v>53</v>
      </c>
      <c r="R7" t="s">
        <v>54</v>
      </c>
      <c r="S7" t="s">
        <v>55</v>
      </c>
      <c r="T7" t="s">
        <v>29</v>
      </c>
      <c r="U7" t="s">
        <v>30</v>
      </c>
    </row>
    <row r="8" spans="1:21" x14ac:dyDescent="0.25">
      <c r="A8">
        <v>7</v>
      </c>
      <c r="B8" t="s">
        <v>56</v>
      </c>
      <c r="C8">
        <v>868642</v>
      </c>
      <c r="D8" t="s">
        <v>18</v>
      </c>
      <c r="E8">
        <v>30</v>
      </c>
      <c r="F8" t="str">
        <f t="shared" si="0"/>
        <v>adult</v>
      </c>
      <c r="G8" t="s">
        <v>19</v>
      </c>
      <c r="H8" t="str">
        <f t="shared" si="1"/>
        <v>Dec</v>
      </c>
      <c r="I8" t="s">
        <v>20</v>
      </c>
      <c r="J8" t="s">
        <v>21</v>
      </c>
      <c r="K8" t="s">
        <v>57</v>
      </c>
      <c r="L8" t="s">
        <v>58</v>
      </c>
      <c r="M8" t="s">
        <v>50</v>
      </c>
      <c r="N8">
        <v>1</v>
      </c>
      <c r="O8" t="s">
        <v>25</v>
      </c>
      <c r="P8">
        <v>1410</v>
      </c>
      <c r="Q8" t="s">
        <v>53</v>
      </c>
      <c r="R8" t="s">
        <v>54</v>
      </c>
      <c r="S8" t="s">
        <v>55</v>
      </c>
      <c r="T8" t="s">
        <v>29</v>
      </c>
      <c r="U8" t="s">
        <v>30</v>
      </c>
    </row>
    <row r="9" spans="1:21" x14ac:dyDescent="0.25">
      <c r="A9">
        <v>8</v>
      </c>
      <c r="B9" t="s">
        <v>59</v>
      </c>
      <c r="C9">
        <v>259820</v>
      </c>
      <c r="D9" t="s">
        <v>32</v>
      </c>
      <c r="E9">
        <v>51</v>
      </c>
      <c r="F9" t="str">
        <f t="shared" si="0"/>
        <v>senior</v>
      </c>
      <c r="G9" t="s">
        <v>19</v>
      </c>
      <c r="H9" t="str">
        <f t="shared" si="1"/>
        <v>Dec</v>
      </c>
      <c r="I9" t="s">
        <v>20</v>
      </c>
      <c r="J9" t="s">
        <v>33</v>
      </c>
      <c r="K9" t="s">
        <v>60</v>
      </c>
      <c r="L9" t="s">
        <v>42</v>
      </c>
      <c r="M9" t="s">
        <v>24</v>
      </c>
      <c r="N9">
        <v>1</v>
      </c>
      <c r="O9" t="s">
        <v>25</v>
      </c>
      <c r="P9">
        <v>1050</v>
      </c>
      <c r="Q9" t="s">
        <v>26</v>
      </c>
      <c r="R9" t="s">
        <v>27</v>
      </c>
      <c r="S9" t="s">
        <v>28</v>
      </c>
      <c r="T9" t="s">
        <v>29</v>
      </c>
      <c r="U9" t="s">
        <v>43</v>
      </c>
    </row>
    <row r="10" spans="1:21" x14ac:dyDescent="0.25">
      <c r="A10">
        <v>9</v>
      </c>
      <c r="B10" t="s">
        <v>61</v>
      </c>
      <c r="C10">
        <v>114670</v>
      </c>
      <c r="D10" t="s">
        <v>18</v>
      </c>
      <c r="E10">
        <v>22</v>
      </c>
      <c r="F10" t="str">
        <f t="shared" si="0"/>
        <v>teenager</v>
      </c>
      <c r="G10" t="s">
        <v>19</v>
      </c>
      <c r="H10" t="str">
        <f t="shared" si="1"/>
        <v>Dec</v>
      </c>
      <c r="I10" t="s">
        <v>20</v>
      </c>
      <c r="J10" t="s">
        <v>21</v>
      </c>
      <c r="K10" t="s">
        <v>62</v>
      </c>
      <c r="L10" t="s">
        <v>23</v>
      </c>
      <c r="M10" t="s">
        <v>35</v>
      </c>
      <c r="N10">
        <v>1</v>
      </c>
      <c r="O10" t="s">
        <v>25</v>
      </c>
      <c r="P10">
        <v>1708</v>
      </c>
      <c r="Q10" t="s">
        <v>63</v>
      </c>
      <c r="R10" t="s">
        <v>64</v>
      </c>
      <c r="S10" t="s">
        <v>65</v>
      </c>
      <c r="T10" t="s">
        <v>29</v>
      </c>
      <c r="U10" t="s">
        <v>43</v>
      </c>
    </row>
    <row r="11" spans="1:21" x14ac:dyDescent="0.25">
      <c r="A11">
        <v>10</v>
      </c>
      <c r="B11" t="s">
        <v>66</v>
      </c>
      <c r="C11">
        <v>559839</v>
      </c>
      <c r="D11" t="s">
        <v>32</v>
      </c>
      <c r="E11">
        <v>53</v>
      </c>
      <c r="F11" t="str">
        <f t="shared" si="0"/>
        <v>senior</v>
      </c>
      <c r="G11" t="s">
        <v>19</v>
      </c>
      <c r="H11" t="str">
        <f t="shared" si="1"/>
        <v>Dec</v>
      </c>
      <c r="I11" t="s">
        <v>20</v>
      </c>
      <c r="J11" t="s">
        <v>33</v>
      </c>
      <c r="K11" t="s">
        <v>67</v>
      </c>
      <c r="L11" t="s">
        <v>58</v>
      </c>
      <c r="M11" t="s">
        <v>47</v>
      </c>
      <c r="N11">
        <v>1</v>
      </c>
      <c r="O11" t="s">
        <v>25</v>
      </c>
      <c r="P11">
        <v>1633</v>
      </c>
      <c r="Q11" t="s">
        <v>53</v>
      </c>
      <c r="R11" t="s">
        <v>54</v>
      </c>
      <c r="S11" t="s">
        <v>55</v>
      </c>
      <c r="T11" t="s">
        <v>29</v>
      </c>
      <c r="U11" t="s">
        <v>43</v>
      </c>
    </row>
    <row r="12" spans="1:21" x14ac:dyDescent="0.25">
      <c r="A12">
        <v>11</v>
      </c>
      <c r="B12" t="s">
        <v>68</v>
      </c>
      <c r="C12">
        <v>630180</v>
      </c>
      <c r="D12" t="s">
        <v>18</v>
      </c>
      <c r="E12">
        <v>26</v>
      </c>
      <c r="F12" t="str">
        <f t="shared" si="0"/>
        <v>teenager</v>
      </c>
      <c r="G12" t="s">
        <v>19</v>
      </c>
      <c r="H12" t="str">
        <f t="shared" si="1"/>
        <v>Dec</v>
      </c>
      <c r="I12" t="s">
        <v>20</v>
      </c>
      <c r="J12" t="s">
        <v>45</v>
      </c>
      <c r="K12" t="s">
        <v>69</v>
      </c>
      <c r="L12" t="s">
        <v>58</v>
      </c>
      <c r="M12" t="s">
        <v>47</v>
      </c>
      <c r="N12">
        <v>1</v>
      </c>
      <c r="O12" t="s">
        <v>25</v>
      </c>
      <c r="P12">
        <v>1465</v>
      </c>
      <c r="Q12" t="s">
        <v>63</v>
      </c>
      <c r="R12" t="s">
        <v>64</v>
      </c>
      <c r="S12" t="s">
        <v>65</v>
      </c>
      <c r="T12" t="s">
        <v>29</v>
      </c>
      <c r="U12" t="s">
        <v>43</v>
      </c>
    </row>
    <row r="13" spans="1:21" x14ac:dyDescent="0.25">
      <c r="A13">
        <v>12</v>
      </c>
      <c r="B13" t="s">
        <v>70</v>
      </c>
      <c r="C13">
        <v>685702</v>
      </c>
      <c r="D13" t="s">
        <v>32</v>
      </c>
      <c r="E13">
        <v>22</v>
      </c>
      <c r="F13" t="str">
        <f t="shared" si="0"/>
        <v>teenager</v>
      </c>
      <c r="G13" t="s">
        <v>19</v>
      </c>
      <c r="H13" t="str">
        <f t="shared" si="1"/>
        <v>Dec</v>
      </c>
      <c r="I13" t="s">
        <v>20</v>
      </c>
      <c r="J13" t="s">
        <v>21</v>
      </c>
      <c r="K13" t="s">
        <v>71</v>
      </c>
      <c r="L13" t="s">
        <v>23</v>
      </c>
      <c r="M13" t="s">
        <v>35</v>
      </c>
      <c r="N13">
        <v>1</v>
      </c>
      <c r="O13" t="s">
        <v>25</v>
      </c>
      <c r="P13">
        <v>415</v>
      </c>
      <c r="Q13" t="s">
        <v>53</v>
      </c>
      <c r="R13" t="s">
        <v>54</v>
      </c>
      <c r="S13" t="s">
        <v>55</v>
      </c>
      <c r="T13" t="s">
        <v>29</v>
      </c>
      <c r="U13" t="s">
        <v>43</v>
      </c>
    </row>
    <row r="14" spans="1:21" x14ac:dyDescent="0.25">
      <c r="A14">
        <v>13</v>
      </c>
      <c r="B14" t="s">
        <v>72</v>
      </c>
      <c r="C14">
        <v>955380</v>
      </c>
      <c r="D14" t="s">
        <v>18</v>
      </c>
      <c r="E14">
        <v>35</v>
      </c>
      <c r="F14" t="str">
        <f t="shared" si="0"/>
        <v>adult</v>
      </c>
      <c r="G14" t="s">
        <v>19</v>
      </c>
      <c r="H14" t="str">
        <f t="shared" si="1"/>
        <v>Dec</v>
      </c>
      <c r="I14" t="s">
        <v>20</v>
      </c>
      <c r="J14" t="s">
        <v>21</v>
      </c>
      <c r="K14" t="s">
        <v>73</v>
      </c>
      <c r="L14" t="s">
        <v>23</v>
      </c>
      <c r="M14" t="s">
        <v>24</v>
      </c>
      <c r="N14">
        <v>1</v>
      </c>
      <c r="O14" t="s">
        <v>25</v>
      </c>
      <c r="P14">
        <v>1337</v>
      </c>
      <c r="Q14" t="s">
        <v>53</v>
      </c>
      <c r="R14" t="s">
        <v>54</v>
      </c>
      <c r="S14" t="s">
        <v>55</v>
      </c>
      <c r="T14" t="s">
        <v>29</v>
      </c>
      <c r="U14" t="s">
        <v>30</v>
      </c>
    </row>
    <row r="15" spans="1:21" x14ac:dyDescent="0.25">
      <c r="A15">
        <v>14</v>
      </c>
      <c r="B15" t="s">
        <v>74</v>
      </c>
      <c r="C15">
        <v>484143</v>
      </c>
      <c r="D15" t="s">
        <v>32</v>
      </c>
      <c r="E15">
        <v>48</v>
      </c>
      <c r="F15" t="str">
        <f t="shared" si="0"/>
        <v>adult</v>
      </c>
      <c r="G15" t="s">
        <v>19</v>
      </c>
      <c r="H15" t="str">
        <f t="shared" si="1"/>
        <v>Dec</v>
      </c>
      <c r="I15" t="s">
        <v>20</v>
      </c>
      <c r="J15" t="s">
        <v>40</v>
      </c>
      <c r="K15" t="s">
        <v>75</v>
      </c>
      <c r="L15" t="s">
        <v>58</v>
      </c>
      <c r="M15" t="s">
        <v>76</v>
      </c>
      <c r="N15">
        <v>1</v>
      </c>
      <c r="O15" t="s">
        <v>25</v>
      </c>
      <c r="P15">
        <v>732</v>
      </c>
      <c r="Q15" t="s">
        <v>36</v>
      </c>
      <c r="R15" t="s">
        <v>37</v>
      </c>
      <c r="S15" t="s">
        <v>38</v>
      </c>
      <c r="T15" t="s">
        <v>29</v>
      </c>
      <c r="U15" t="s">
        <v>43</v>
      </c>
    </row>
    <row r="16" spans="1:21" x14ac:dyDescent="0.25">
      <c r="A16">
        <v>15</v>
      </c>
      <c r="B16" t="s">
        <v>77</v>
      </c>
      <c r="C16">
        <v>552511</v>
      </c>
      <c r="D16" t="s">
        <v>18</v>
      </c>
      <c r="E16">
        <v>27</v>
      </c>
      <c r="F16" t="str">
        <f t="shared" si="0"/>
        <v>teenager</v>
      </c>
      <c r="G16" t="s">
        <v>19</v>
      </c>
      <c r="H16" t="str">
        <f t="shared" si="1"/>
        <v>Dec</v>
      </c>
      <c r="I16" t="s">
        <v>20</v>
      </c>
      <c r="J16" t="s">
        <v>33</v>
      </c>
      <c r="K16" t="s">
        <v>78</v>
      </c>
      <c r="L16" t="s">
        <v>42</v>
      </c>
      <c r="M16" t="s">
        <v>50</v>
      </c>
      <c r="N16">
        <v>1</v>
      </c>
      <c r="O16" t="s">
        <v>25</v>
      </c>
      <c r="P16">
        <v>757</v>
      </c>
      <c r="Q16" t="s">
        <v>26</v>
      </c>
      <c r="R16" t="s">
        <v>27</v>
      </c>
      <c r="S16" t="s">
        <v>28</v>
      </c>
      <c r="T16" t="s">
        <v>29</v>
      </c>
      <c r="U16" t="s">
        <v>30</v>
      </c>
    </row>
    <row r="17" spans="1:21" x14ac:dyDescent="0.25">
      <c r="A17">
        <v>16</v>
      </c>
      <c r="B17" t="s">
        <v>79</v>
      </c>
      <c r="C17">
        <v>991322</v>
      </c>
      <c r="D17" t="s">
        <v>32</v>
      </c>
      <c r="E17">
        <v>42</v>
      </c>
      <c r="F17" t="str">
        <f t="shared" si="0"/>
        <v>adult</v>
      </c>
      <c r="G17" t="s">
        <v>19</v>
      </c>
      <c r="H17" t="str">
        <f t="shared" si="1"/>
        <v>Dec</v>
      </c>
      <c r="I17" t="s">
        <v>20</v>
      </c>
      <c r="J17" t="s">
        <v>21</v>
      </c>
      <c r="K17" t="s">
        <v>80</v>
      </c>
      <c r="L17" t="s">
        <v>23</v>
      </c>
      <c r="M17" t="s">
        <v>76</v>
      </c>
      <c r="N17">
        <v>1</v>
      </c>
      <c r="O17" t="s">
        <v>25</v>
      </c>
      <c r="P17">
        <v>1485</v>
      </c>
      <c r="Q17" t="s">
        <v>26</v>
      </c>
      <c r="R17" t="s">
        <v>27</v>
      </c>
      <c r="S17" t="s">
        <v>28</v>
      </c>
      <c r="T17" t="s">
        <v>29</v>
      </c>
      <c r="U17" t="s">
        <v>43</v>
      </c>
    </row>
    <row r="18" spans="1:21" x14ac:dyDescent="0.25">
      <c r="A18">
        <v>17</v>
      </c>
      <c r="B18" t="s">
        <v>81</v>
      </c>
      <c r="C18">
        <v>168277</v>
      </c>
      <c r="D18" t="s">
        <v>18</v>
      </c>
      <c r="E18">
        <v>65</v>
      </c>
      <c r="F18" t="str">
        <f t="shared" si="0"/>
        <v>senior</v>
      </c>
      <c r="G18" t="s">
        <v>19</v>
      </c>
      <c r="H18" t="str">
        <f t="shared" si="1"/>
        <v>Dec</v>
      </c>
      <c r="I18" t="s">
        <v>20</v>
      </c>
      <c r="J18" t="s">
        <v>40</v>
      </c>
      <c r="K18" t="s">
        <v>82</v>
      </c>
      <c r="L18" t="s">
        <v>23</v>
      </c>
      <c r="M18" t="s">
        <v>24</v>
      </c>
      <c r="N18">
        <v>1</v>
      </c>
      <c r="O18" t="s">
        <v>25</v>
      </c>
      <c r="P18">
        <v>1606</v>
      </c>
      <c r="Q18" t="s">
        <v>63</v>
      </c>
      <c r="R18" t="s">
        <v>64</v>
      </c>
      <c r="S18" t="s">
        <v>65</v>
      </c>
      <c r="T18" t="s">
        <v>29</v>
      </c>
      <c r="U18" t="s">
        <v>30</v>
      </c>
    </row>
    <row r="19" spans="1:21" x14ac:dyDescent="0.25">
      <c r="A19">
        <v>18</v>
      </c>
      <c r="B19" t="s">
        <v>83</v>
      </c>
      <c r="C19">
        <v>395860</v>
      </c>
      <c r="D19" t="s">
        <v>32</v>
      </c>
      <c r="E19">
        <v>69</v>
      </c>
      <c r="F19" t="str">
        <f t="shared" si="0"/>
        <v>senior</v>
      </c>
      <c r="G19" t="s">
        <v>19</v>
      </c>
      <c r="H19" t="str">
        <f t="shared" si="1"/>
        <v>Dec</v>
      </c>
      <c r="I19" t="s">
        <v>20</v>
      </c>
      <c r="J19" t="s">
        <v>33</v>
      </c>
      <c r="K19" t="s">
        <v>84</v>
      </c>
      <c r="L19" t="s">
        <v>58</v>
      </c>
      <c r="M19" t="s">
        <v>47</v>
      </c>
      <c r="N19">
        <v>1</v>
      </c>
      <c r="O19" t="s">
        <v>25</v>
      </c>
      <c r="P19">
        <v>923</v>
      </c>
      <c r="Q19" t="s">
        <v>26</v>
      </c>
      <c r="R19" t="s">
        <v>27</v>
      </c>
      <c r="S19" t="s">
        <v>28</v>
      </c>
      <c r="T19" t="s">
        <v>29</v>
      </c>
      <c r="U19" t="s">
        <v>30</v>
      </c>
    </row>
    <row r="20" spans="1:21" x14ac:dyDescent="0.25">
      <c r="A20">
        <v>19</v>
      </c>
      <c r="B20" t="s">
        <v>85</v>
      </c>
      <c r="C20">
        <v>469472</v>
      </c>
      <c r="D20" t="s">
        <v>18</v>
      </c>
      <c r="E20">
        <v>25</v>
      </c>
      <c r="F20" t="str">
        <f t="shared" si="0"/>
        <v>teenager</v>
      </c>
      <c r="G20" t="s">
        <v>19</v>
      </c>
      <c r="H20" t="str">
        <f t="shared" si="1"/>
        <v>Dec</v>
      </c>
      <c r="I20" t="s">
        <v>20</v>
      </c>
      <c r="J20" t="s">
        <v>33</v>
      </c>
      <c r="K20" t="s">
        <v>86</v>
      </c>
      <c r="L20" t="s">
        <v>58</v>
      </c>
      <c r="M20" t="s">
        <v>24</v>
      </c>
      <c r="N20">
        <v>1</v>
      </c>
      <c r="O20" t="s">
        <v>25</v>
      </c>
      <c r="P20">
        <v>1575</v>
      </c>
      <c r="Q20" t="s">
        <v>53</v>
      </c>
      <c r="R20" t="s">
        <v>54</v>
      </c>
      <c r="S20" t="s">
        <v>55</v>
      </c>
      <c r="T20" t="s">
        <v>29</v>
      </c>
      <c r="U20" t="s">
        <v>43</v>
      </c>
    </row>
    <row r="21" spans="1:21" x14ac:dyDescent="0.25">
      <c r="A21">
        <v>20</v>
      </c>
      <c r="B21" t="s">
        <v>87</v>
      </c>
      <c r="C21">
        <v>387691</v>
      </c>
      <c r="D21" t="s">
        <v>32</v>
      </c>
      <c r="E21">
        <v>35</v>
      </c>
      <c r="F21" t="str">
        <f t="shared" si="0"/>
        <v>adult</v>
      </c>
      <c r="G21" t="s">
        <v>19</v>
      </c>
      <c r="H21" t="str">
        <f t="shared" si="1"/>
        <v>Dec</v>
      </c>
      <c r="I21" t="s">
        <v>20</v>
      </c>
      <c r="J21" t="s">
        <v>45</v>
      </c>
      <c r="K21" t="s">
        <v>88</v>
      </c>
      <c r="L21" t="s">
        <v>23</v>
      </c>
      <c r="M21" t="s">
        <v>24</v>
      </c>
      <c r="N21">
        <v>1</v>
      </c>
      <c r="O21" t="s">
        <v>25</v>
      </c>
      <c r="P21">
        <v>1726</v>
      </c>
      <c r="Q21" t="s">
        <v>53</v>
      </c>
      <c r="R21" t="s">
        <v>54</v>
      </c>
      <c r="S21" t="s">
        <v>55</v>
      </c>
      <c r="T21" t="s">
        <v>29</v>
      </c>
      <c r="U21" t="s">
        <v>30</v>
      </c>
    </row>
    <row r="22" spans="1:21" x14ac:dyDescent="0.25">
      <c r="A22">
        <v>21</v>
      </c>
      <c r="B22" t="s">
        <v>89</v>
      </c>
      <c r="C22">
        <v>581168</v>
      </c>
      <c r="D22" t="s">
        <v>18</v>
      </c>
      <c r="E22">
        <v>47</v>
      </c>
      <c r="F22" t="str">
        <f t="shared" si="0"/>
        <v>adult</v>
      </c>
      <c r="G22" t="s">
        <v>19</v>
      </c>
      <c r="H22" t="str">
        <f t="shared" si="1"/>
        <v>Dec</v>
      </c>
      <c r="I22" t="s">
        <v>20</v>
      </c>
      <c r="J22" t="s">
        <v>45</v>
      </c>
      <c r="K22" t="s">
        <v>90</v>
      </c>
      <c r="L22" t="s">
        <v>58</v>
      </c>
      <c r="M22" t="s">
        <v>24</v>
      </c>
      <c r="N22">
        <v>1</v>
      </c>
      <c r="O22" t="s">
        <v>25</v>
      </c>
      <c r="P22">
        <v>1187</v>
      </c>
      <c r="Q22" t="s">
        <v>26</v>
      </c>
      <c r="R22" t="s">
        <v>27</v>
      </c>
      <c r="S22" t="s">
        <v>28</v>
      </c>
      <c r="T22" t="s">
        <v>29</v>
      </c>
      <c r="U22" t="s">
        <v>43</v>
      </c>
    </row>
    <row r="23" spans="1:21" x14ac:dyDescent="0.25">
      <c r="A23">
        <v>22</v>
      </c>
      <c r="B23" t="s">
        <v>91</v>
      </c>
      <c r="C23">
        <v>336122</v>
      </c>
      <c r="D23" t="s">
        <v>32</v>
      </c>
      <c r="E23">
        <v>54</v>
      </c>
      <c r="F23" t="str">
        <f t="shared" si="0"/>
        <v>senior</v>
      </c>
      <c r="G23" t="s">
        <v>19</v>
      </c>
      <c r="H23" t="str">
        <f t="shared" si="1"/>
        <v>Dec</v>
      </c>
      <c r="I23" t="s">
        <v>20</v>
      </c>
      <c r="J23" t="s">
        <v>40</v>
      </c>
      <c r="K23" t="s">
        <v>92</v>
      </c>
      <c r="L23" t="s">
        <v>23</v>
      </c>
      <c r="M23" t="s">
        <v>50</v>
      </c>
      <c r="N23">
        <v>1</v>
      </c>
      <c r="O23" t="s">
        <v>25</v>
      </c>
      <c r="P23">
        <v>702</v>
      </c>
      <c r="Q23" t="s">
        <v>53</v>
      </c>
      <c r="R23" t="s">
        <v>54</v>
      </c>
      <c r="S23" t="s">
        <v>55</v>
      </c>
      <c r="T23" t="s">
        <v>29</v>
      </c>
      <c r="U23" t="s">
        <v>43</v>
      </c>
    </row>
    <row r="24" spans="1:21" x14ac:dyDescent="0.25">
      <c r="A24">
        <v>23</v>
      </c>
      <c r="B24" t="s">
        <v>93</v>
      </c>
      <c r="C24">
        <v>727627</v>
      </c>
      <c r="D24" t="s">
        <v>18</v>
      </c>
      <c r="E24">
        <v>33</v>
      </c>
      <c r="F24" t="str">
        <f t="shared" si="0"/>
        <v>adult</v>
      </c>
      <c r="G24" t="s">
        <v>19</v>
      </c>
      <c r="H24" t="str">
        <f t="shared" si="1"/>
        <v>Dec</v>
      </c>
      <c r="I24" t="s">
        <v>20</v>
      </c>
      <c r="J24" t="s">
        <v>40</v>
      </c>
      <c r="K24" t="s">
        <v>94</v>
      </c>
      <c r="L24" t="s">
        <v>23</v>
      </c>
      <c r="M24" t="s">
        <v>76</v>
      </c>
      <c r="N24">
        <v>1</v>
      </c>
      <c r="O24" t="s">
        <v>25</v>
      </c>
      <c r="P24">
        <v>420</v>
      </c>
      <c r="Q24" t="s">
        <v>36</v>
      </c>
      <c r="R24" t="s">
        <v>37</v>
      </c>
      <c r="S24" t="s">
        <v>38</v>
      </c>
      <c r="T24" t="s">
        <v>29</v>
      </c>
      <c r="U24" t="s">
        <v>30</v>
      </c>
    </row>
    <row r="25" spans="1:21" x14ac:dyDescent="0.25">
      <c r="A25">
        <v>24</v>
      </c>
      <c r="B25" t="s">
        <v>95</v>
      </c>
      <c r="C25">
        <v>962247</v>
      </c>
      <c r="D25" t="s">
        <v>32</v>
      </c>
      <c r="E25">
        <v>67</v>
      </c>
      <c r="F25" t="str">
        <f t="shared" si="0"/>
        <v>senior</v>
      </c>
      <c r="G25" t="s">
        <v>19</v>
      </c>
      <c r="H25" t="str">
        <f t="shared" si="1"/>
        <v>Dec</v>
      </c>
      <c r="I25" t="s">
        <v>20</v>
      </c>
      <c r="J25" t="s">
        <v>21</v>
      </c>
      <c r="K25" t="s">
        <v>96</v>
      </c>
      <c r="L25" t="s">
        <v>58</v>
      </c>
      <c r="M25" t="s">
        <v>35</v>
      </c>
      <c r="N25">
        <v>1</v>
      </c>
      <c r="O25" t="s">
        <v>25</v>
      </c>
      <c r="P25">
        <v>1103</v>
      </c>
      <c r="Q25" t="s">
        <v>36</v>
      </c>
      <c r="R25" t="s">
        <v>37</v>
      </c>
      <c r="S25" t="s">
        <v>38</v>
      </c>
      <c r="T25" t="s">
        <v>29</v>
      </c>
      <c r="U25" t="s">
        <v>43</v>
      </c>
    </row>
    <row r="26" spans="1:21" x14ac:dyDescent="0.25">
      <c r="A26">
        <v>25</v>
      </c>
      <c r="B26" t="s">
        <v>97</v>
      </c>
      <c r="C26">
        <v>920545</v>
      </c>
      <c r="D26" t="s">
        <v>18</v>
      </c>
      <c r="E26">
        <v>42</v>
      </c>
      <c r="F26" t="str">
        <f t="shared" si="0"/>
        <v>adult</v>
      </c>
      <c r="G26" t="s">
        <v>19</v>
      </c>
      <c r="H26" t="str">
        <f t="shared" si="1"/>
        <v>Dec</v>
      </c>
      <c r="I26" t="s">
        <v>20</v>
      </c>
      <c r="J26" t="s">
        <v>45</v>
      </c>
      <c r="K26" t="s">
        <v>98</v>
      </c>
      <c r="L26" t="s">
        <v>23</v>
      </c>
      <c r="M26" t="s">
        <v>50</v>
      </c>
      <c r="N26">
        <v>1</v>
      </c>
      <c r="O26" t="s">
        <v>25</v>
      </c>
      <c r="P26">
        <v>1730</v>
      </c>
      <c r="Q26" t="s">
        <v>53</v>
      </c>
      <c r="R26" t="s">
        <v>54</v>
      </c>
      <c r="S26" t="s">
        <v>55</v>
      </c>
      <c r="T26" t="s">
        <v>29</v>
      </c>
      <c r="U26" t="s">
        <v>43</v>
      </c>
    </row>
    <row r="27" spans="1:21" x14ac:dyDescent="0.25">
      <c r="A27">
        <v>26</v>
      </c>
      <c r="B27" t="s">
        <v>99</v>
      </c>
      <c r="C27">
        <v>458889</v>
      </c>
      <c r="D27" t="s">
        <v>32</v>
      </c>
      <c r="E27">
        <v>53</v>
      </c>
      <c r="F27" t="str">
        <f t="shared" si="0"/>
        <v>senior</v>
      </c>
      <c r="G27" t="s">
        <v>19</v>
      </c>
      <c r="H27" t="str">
        <f t="shared" si="1"/>
        <v>Dec</v>
      </c>
      <c r="I27" t="s">
        <v>20</v>
      </c>
      <c r="J27" t="s">
        <v>33</v>
      </c>
      <c r="K27" t="s">
        <v>100</v>
      </c>
      <c r="L27" t="s">
        <v>42</v>
      </c>
      <c r="M27" t="s">
        <v>50</v>
      </c>
      <c r="N27">
        <v>1</v>
      </c>
      <c r="O27" t="s">
        <v>25</v>
      </c>
      <c r="P27">
        <v>519</v>
      </c>
      <c r="Q27" t="s">
        <v>36</v>
      </c>
      <c r="R27" t="s">
        <v>37</v>
      </c>
      <c r="S27" t="s">
        <v>38</v>
      </c>
      <c r="T27" t="s">
        <v>29</v>
      </c>
      <c r="U27" t="s">
        <v>43</v>
      </c>
    </row>
    <row r="28" spans="1:21" x14ac:dyDescent="0.25">
      <c r="A28">
        <v>27</v>
      </c>
      <c r="B28" t="s">
        <v>101</v>
      </c>
      <c r="C28">
        <v>483103</v>
      </c>
      <c r="D28" t="s">
        <v>18</v>
      </c>
      <c r="E28">
        <v>45</v>
      </c>
      <c r="F28" t="str">
        <f t="shared" si="0"/>
        <v>adult</v>
      </c>
      <c r="G28" t="s">
        <v>19</v>
      </c>
      <c r="H28" t="str">
        <f t="shared" si="1"/>
        <v>Dec</v>
      </c>
      <c r="I28" t="s">
        <v>20</v>
      </c>
      <c r="J28" t="s">
        <v>33</v>
      </c>
      <c r="K28" t="s">
        <v>102</v>
      </c>
      <c r="L28" t="s">
        <v>58</v>
      </c>
      <c r="M28" t="s">
        <v>24</v>
      </c>
      <c r="N28">
        <v>1</v>
      </c>
      <c r="O28" t="s">
        <v>25</v>
      </c>
      <c r="P28">
        <v>748</v>
      </c>
      <c r="Q28" t="s">
        <v>53</v>
      </c>
      <c r="R28" t="s">
        <v>54</v>
      </c>
      <c r="S28" t="s">
        <v>55</v>
      </c>
      <c r="T28" t="s">
        <v>29</v>
      </c>
      <c r="U28" t="s">
        <v>43</v>
      </c>
    </row>
    <row r="29" spans="1:21" x14ac:dyDescent="0.25">
      <c r="A29">
        <v>28</v>
      </c>
      <c r="B29" t="s">
        <v>103</v>
      </c>
      <c r="C29">
        <v>663859</v>
      </c>
      <c r="D29" t="s">
        <v>32</v>
      </c>
      <c r="E29">
        <v>54</v>
      </c>
      <c r="F29" t="str">
        <f t="shared" si="0"/>
        <v>senior</v>
      </c>
      <c r="G29" t="s">
        <v>19</v>
      </c>
      <c r="H29" t="str">
        <f t="shared" si="1"/>
        <v>Dec</v>
      </c>
      <c r="I29" t="s">
        <v>20</v>
      </c>
      <c r="J29" t="s">
        <v>40</v>
      </c>
      <c r="K29" t="s">
        <v>104</v>
      </c>
      <c r="L29" t="s">
        <v>58</v>
      </c>
      <c r="M29" t="s">
        <v>76</v>
      </c>
      <c r="N29">
        <v>1</v>
      </c>
      <c r="O29" t="s">
        <v>25</v>
      </c>
      <c r="P29">
        <v>856</v>
      </c>
      <c r="Q29" t="s">
        <v>36</v>
      </c>
      <c r="R29" t="s">
        <v>37</v>
      </c>
      <c r="S29" t="s">
        <v>38</v>
      </c>
      <c r="T29" t="s">
        <v>29</v>
      </c>
      <c r="U29" t="s">
        <v>43</v>
      </c>
    </row>
    <row r="30" spans="1:21" x14ac:dyDescent="0.25">
      <c r="A30">
        <v>29</v>
      </c>
      <c r="B30" t="s">
        <v>105</v>
      </c>
      <c r="C30">
        <v>136608</v>
      </c>
      <c r="D30" t="s">
        <v>18</v>
      </c>
      <c r="E30">
        <v>35</v>
      </c>
      <c r="F30" t="str">
        <f t="shared" si="0"/>
        <v>adult</v>
      </c>
      <c r="G30" t="s">
        <v>19</v>
      </c>
      <c r="H30" t="str">
        <f t="shared" si="1"/>
        <v>Dec</v>
      </c>
      <c r="I30" t="s">
        <v>20</v>
      </c>
      <c r="J30" t="s">
        <v>33</v>
      </c>
      <c r="K30" t="s">
        <v>106</v>
      </c>
      <c r="L30" t="s">
        <v>58</v>
      </c>
      <c r="M30" t="s">
        <v>76</v>
      </c>
      <c r="N30">
        <v>1</v>
      </c>
      <c r="O30" t="s">
        <v>25</v>
      </c>
      <c r="P30">
        <v>1840</v>
      </c>
      <c r="Q30" t="s">
        <v>26</v>
      </c>
      <c r="R30" t="s">
        <v>27</v>
      </c>
      <c r="S30" t="s">
        <v>28</v>
      </c>
      <c r="T30" t="s">
        <v>29</v>
      </c>
      <c r="U30" t="s">
        <v>30</v>
      </c>
    </row>
    <row r="31" spans="1:21" x14ac:dyDescent="0.25">
      <c r="A31">
        <v>30</v>
      </c>
      <c r="B31" t="s">
        <v>107</v>
      </c>
      <c r="C31">
        <v>347518</v>
      </c>
      <c r="D31" t="s">
        <v>32</v>
      </c>
      <c r="E31">
        <v>39</v>
      </c>
      <c r="F31" t="str">
        <f t="shared" si="0"/>
        <v>adult</v>
      </c>
      <c r="G31" t="s">
        <v>19</v>
      </c>
      <c r="H31" t="str">
        <f t="shared" si="1"/>
        <v>Dec</v>
      </c>
      <c r="I31" t="s">
        <v>20</v>
      </c>
      <c r="J31" t="s">
        <v>33</v>
      </c>
      <c r="K31" t="s">
        <v>108</v>
      </c>
      <c r="L31" t="s">
        <v>42</v>
      </c>
      <c r="M31" t="s">
        <v>50</v>
      </c>
      <c r="N31">
        <v>1</v>
      </c>
      <c r="O31" t="s">
        <v>25</v>
      </c>
      <c r="P31">
        <v>1161</v>
      </c>
      <c r="Q31" t="s">
        <v>63</v>
      </c>
      <c r="R31" t="s">
        <v>64</v>
      </c>
      <c r="S31" t="s">
        <v>65</v>
      </c>
      <c r="T31" t="s">
        <v>29</v>
      </c>
      <c r="U31" t="s">
        <v>30</v>
      </c>
    </row>
    <row r="32" spans="1:21" x14ac:dyDescent="0.25">
      <c r="A32">
        <v>31</v>
      </c>
      <c r="B32" t="s">
        <v>109</v>
      </c>
      <c r="C32">
        <v>759316</v>
      </c>
      <c r="D32" t="s">
        <v>18</v>
      </c>
      <c r="E32">
        <v>60</v>
      </c>
      <c r="F32" t="str">
        <f t="shared" si="0"/>
        <v>senior</v>
      </c>
      <c r="G32" t="s">
        <v>19</v>
      </c>
      <c r="H32" t="str">
        <f t="shared" si="1"/>
        <v>Dec</v>
      </c>
      <c r="I32" t="s">
        <v>20</v>
      </c>
      <c r="J32" t="s">
        <v>40</v>
      </c>
      <c r="K32" t="s">
        <v>110</v>
      </c>
      <c r="L32" t="s">
        <v>23</v>
      </c>
      <c r="M32" t="s">
        <v>24</v>
      </c>
      <c r="N32">
        <v>1</v>
      </c>
      <c r="O32" t="s">
        <v>25</v>
      </c>
      <c r="P32">
        <v>680</v>
      </c>
      <c r="Q32" t="s">
        <v>36</v>
      </c>
      <c r="R32" t="s">
        <v>37</v>
      </c>
      <c r="S32" t="s">
        <v>38</v>
      </c>
      <c r="T32" t="s">
        <v>29</v>
      </c>
      <c r="U32" t="s">
        <v>30</v>
      </c>
    </row>
    <row r="33" spans="1:21" x14ac:dyDescent="0.25">
      <c r="A33">
        <v>32</v>
      </c>
      <c r="B33" t="s">
        <v>111</v>
      </c>
      <c r="C33">
        <v>148034</v>
      </c>
      <c r="D33" t="s">
        <v>32</v>
      </c>
      <c r="E33">
        <v>54</v>
      </c>
      <c r="F33" t="str">
        <f t="shared" si="0"/>
        <v>senior</v>
      </c>
      <c r="G33" t="s">
        <v>19</v>
      </c>
      <c r="H33" t="str">
        <f t="shared" si="1"/>
        <v>Dec</v>
      </c>
      <c r="I33" t="s">
        <v>20</v>
      </c>
      <c r="J33" t="s">
        <v>45</v>
      </c>
      <c r="K33" t="s">
        <v>112</v>
      </c>
      <c r="L33" t="s">
        <v>42</v>
      </c>
      <c r="M33" t="s">
        <v>35</v>
      </c>
      <c r="N33">
        <v>1</v>
      </c>
      <c r="O33" t="s">
        <v>25</v>
      </c>
      <c r="P33">
        <v>1194</v>
      </c>
      <c r="Q33" t="s">
        <v>26</v>
      </c>
      <c r="R33" t="s">
        <v>27</v>
      </c>
      <c r="S33" t="s">
        <v>28</v>
      </c>
      <c r="T33" t="s">
        <v>29</v>
      </c>
      <c r="U33" t="s">
        <v>30</v>
      </c>
    </row>
    <row r="34" spans="1:21" x14ac:dyDescent="0.25">
      <c r="A34">
        <v>33</v>
      </c>
      <c r="B34" t="s">
        <v>113</v>
      </c>
      <c r="C34">
        <v>976470</v>
      </c>
      <c r="D34" t="s">
        <v>18</v>
      </c>
      <c r="E34">
        <v>23</v>
      </c>
      <c r="F34" t="str">
        <f t="shared" si="0"/>
        <v>teenager</v>
      </c>
      <c r="G34" t="s">
        <v>19</v>
      </c>
      <c r="H34" t="str">
        <f t="shared" si="1"/>
        <v>Dec</v>
      </c>
      <c r="I34" t="s">
        <v>20</v>
      </c>
      <c r="J34" t="s">
        <v>21</v>
      </c>
      <c r="K34" t="s">
        <v>114</v>
      </c>
      <c r="L34" t="s">
        <v>58</v>
      </c>
      <c r="M34" t="s">
        <v>76</v>
      </c>
      <c r="N34">
        <v>1</v>
      </c>
      <c r="O34" t="s">
        <v>25</v>
      </c>
      <c r="P34">
        <v>1973</v>
      </c>
      <c r="Q34" t="s">
        <v>26</v>
      </c>
      <c r="R34" t="s">
        <v>27</v>
      </c>
      <c r="S34" t="s">
        <v>28</v>
      </c>
      <c r="T34" t="s">
        <v>29</v>
      </c>
      <c r="U34" t="s">
        <v>30</v>
      </c>
    </row>
    <row r="35" spans="1:21" x14ac:dyDescent="0.25">
      <c r="A35">
        <v>34</v>
      </c>
      <c r="B35" t="s">
        <v>115</v>
      </c>
      <c r="C35">
        <v>599205</v>
      </c>
      <c r="D35" t="s">
        <v>32</v>
      </c>
      <c r="E35">
        <v>32</v>
      </c>
      <c r="F35" t="str">
        <f t="shared" si="0"/>
        <v>adult</v>
      </c>
      <c r="G35" t="s">
        <v>19</v>
      </c>
      <c r="H35" t="str">
        <f t="shared" si="1"/>
        <v>Dec</v>
      </c>
      <c r="I35" t="s">
        <v>20</v>
      </c>
      <c r="J35" t="s">
        <v>40</v>
      </c>
      <c r="K35" t="s">
        <v>116</v>
      </c>
      <c r="L35" t="s">
        <v>23</v>
      </c>
      <c r="M35" t="s">
        <v>47</v>
      </c>
      <c r="N35">
        <v>1</v>
      </c>
      <c r="O35" t="s">
        <v>25</v>
      </c>
      <c r="P35">
        <v>1909</v>
      </c>
      <c r="Q35" t="s">
        <v>53</v>
      </c>
      <c r="R35" t="s">
        <v>54</v>
      </c>
      <c r="S35" t="s">
        <v>55</v>
      </c>
      <c r="T35" t="s">
        <v>29</v>
      </c>
      <c r="U35" t="s">
        <v>30</v>
      </c>
    </row>
    <row r="36" spans="1:21" x14ac:dyDescent="0.25">
      <c r="A36">
        <v>35</v>
      </c>
      <c r="B36" t="s">
        <v>117</v>
      </c>
      <c r="C36">
        <v>810465</v>
      </c>
      <c r="D36" t="s">
        <v>18</v>
      </c>
      <c r="E36">
        <v>48</v>
      </c>
      <c r="F36" t="str">
        <f t="shared" si="0"/>
        <v>adult</v>
      </c>
      <c r="G36" t="s">
        <v>19</v>
      </c>
      <c r="H36" t="str">
        <f t="shared" si="1"/>
        <v>Dec</v>
      </c>
      <c r="I36" t="s">
        <v>20</v>
      </c>
      <c r="J36" t="s">
        <v>45</v>
      </c>
      <c r="K36" t="s">
        <v>118</v>
      </c>
      <c r="L36" t="s">
        <v>23</v>
      </c>
      <c r="M36" t="s">
        <v>76</v>
      </c>
      <c r="N36">
        <v>1</v>
      </c>
      <c r="O36" t="s">
        <v>25</v>
      </c>
      <c r="P36">
        <v>1999</v>
      </c>
      <c r="Q36" t="s">
        <v>53</v>
      </c>
      <c r="R36" t="s">
        <v>54</v>
      </c>
      <c r="S36" t="s">
        <v>55</v>
      </c>
      <c r="T36" t="s">
        <v>29</v>
      </c>
      <c r="U36" t="s">
        <v>30</v>
      </c>
    </row>
    <row r="37" spans="1:21" x14ac:dyDescent="0.25">
      <c r="A37">
        <v>36</v>
      </c>
      <c r="B37" t="s">
        <v>119</v>
      </c>
      <c r="C37">
        <v>796533</v>
      </c>
      <c r="D37" t="s">
        <v>32</v>
      </c>
      <c r="E37">
        <v>66</v>
      </c>
      <c r="F37" t="str">
        <f t="shared" si="0"/>
        <v>senior</v>
      </c>
      <c r="G37" t="s">
        <v>19</v>
      </c>
      <c r="H37" t="str">
        <f t="shared" si="1"/>
        <v>Dec</v>
      </c>
      <c r="I37" t="s">
        <v>20</v>
      </c>
      <c r="J37" t="s">
        <v>33</v>
      </c>
      <c r="K37" t="s">
        <v>120</v>
      </c>
      <c r="L37" t="s">
        <v>23</v>
      </c>
      <c r="M37" t="s">
        <v>76</v>
      </c>
      <c r="N37">
        <v>1</v>
      </c>
      <c r="O37" t="s">
        <v>25</v>
      </c>
      <c r="P37">
        <v>1809</v>
      </c>
      <c r="Q37" t="s">
        <v>63</v>
      </c>
      <c r="R37" t="s">
        <v>64</v>
      </c>
      <c r="S37" t="s">
        <v>65</v>
      </c>
      <c r="T37" t="s">
        <v>29</v>
      </c>
      <c r="U37" t="s">
        <v>30</v>
      </c>
    </row>
    <row r="38" spans="1:21" x14ac:dyDescent="0.25">
      <c r="A38">
        <v>37</v>
      </c>
      <c r="B38" t="s">
        <v>121</v>
      </c>
      <c r="C38">
        <v>525115</v>
      </c>
      <c r="D38" t="s">
        <v>18</v>
      </c>
      <c r="E38">
        <v>41</v>
      </c>
      <c r="F38" t="str">
        <f t="shared" si="0"/>
        <v>adult</v>
      </c>
      <c r="G38" t="s">
        <v>19</v>
      </c>
      <c r="H38" t="str">
        <f t="shared" si="1"/>
        <v>Dec</v>
      </c>
      <c r="I38" t="s">
        <v>20</v>
      </c>
      <c r="J38" t="s">
        <v>45</v>
      </c>
      <c r="K38" t="s">
        <v>122</v>
      </c>
      <c r="L38" t="s">
        <v>42</v>
      </c>
      <c r="M38" t="s">
        <v>50</v>
      </c>
      <c r="N38">
        <v>1</v>
      </c>
      <c r="O38" t="s">
        <v>25</v>
      </c>
      <c r="P38">
        <v>1770</v>
      </c>
      <c r="Q38" t="s">
        <v>26</v>
      </c>
      <c r="R38" t="s">
        <v>27</v>
      </c>
      <c r="S38" t="s">
        <v>28</v>
      </c>
      <c r="T38" t="s">
        <v>29</v>
      </c>
      <c r="U38" t="s">
        <v>30</v>
      </c>
    </row>
    <row r="39" spans="1:21" x14ac:dyDescent="0.25">
      <c r="A39">
        <v>38</v>
      </c>
      <c r="B39" t="s">
        <v>123</v>
      </c>
      <c r="C39">
        <v>518147</v>
      </c>
      <c r="D39" t="s">
        <v>32</v>
      </c>
      <c r="E39">
        <v>68</v>
      </c>
      <c r="F39" t="str">
        <f t="shared" si="0"/>
        <v>senior</v>
      </c>
      <c r="G39" t="s">
        <v>19</v>
      </c>
      <c r="H39" t="str">
        <f t="shared" si="1"/>
        <v>Dec</v>
      </c>
      <c r="I39" t="s">
        <v>20</v>
      </c>
      <c r="J39" t="s">
        <v>21</v>
      </c>
      <c r="K39" t="s">
        <v>124</v>
      </c>
      <c r="L39" t="s">
        <v>42</v>
      </c>
      <c r="M39" t="s">
        <v>47</v>
      </c>
      <c r="N39">
        <v>1</v>
      </c>
      <c r="O39" t="s">
        <v>25</v>
      </c>
      <c r="P39">
        <v>1044</v>
      </c>
      <c r="Q39" t="s">
        <v>26</v>
      </c>
      <c r="R39" t="s">
        <v>27</v>
      </c>
      <c r="S39" t="s">
        <v>28</v>
      </c>
      <c r="T39" t="s">
        <v>29</v>
      </c>
      <c r="U39" t="s">
        <v>30</v>
      </c>
    </row>
    <row r="40" spans="1:21" x14ac:dyDescent="0.25">
      <c r="A40">
        <v>39</v>
      </c>
      <c r="B40" t="s">
        <v>125</v>
      </c>
      <c r="C40">
        <v>907434</v>
      </c>
      <c r="D40" t="s">
        <v>18</v>
      </c>
      <c r="E40">
        <v>51</v>
      </c>
      <c r="F40" t="str">
        <f t="shared" si="0"/>
        <v>senior</v>
      </c>
      <c r="G40" t="s">
        <v>19</v>
      </c>
      <c r="H40" t="str">
        <f t="shared" si="1"/>
        <v>Dec</v>
      </c>
      <c r="I40" t="s">
        <v>20</v>
      </c>
      <c r="J40" t="s">
        <v>40</v>
      </c>
      <c r="K40" t="s">
        <v>126</v>
      </c>
      <c r="L40" t="s">
        <v>42</v>
      </c>
      <c r="M40" t="s">
        <v>24</v>
      </c>
      <c r="N40">
        <v>1</v>
      </c>
      <c r="O40" t="s">
        <v>25</v>
      </c>
      <c r="P40">
        <v>1275</v>
      </c>
      <c r="Q40" t="s">
        <v>53</v>
      </c>
      <c r="R40" t="s">
        <v>54</v>
      </c>
      <c r="S40" t="s">
        <v>55</v>
      </c>
      <c r="T40" t="s">
        <v>29</v>
      </c>
      <c r="U40" t="s">
        <v>30</v>
      </c>
    </row>
    <row r="41" spans="1:21" x14ac:dyDescent="0.25">
      <c r="A41">
        <v>40</v>
      </c>
      <c r="B41" t="s">
        <v>127</v>
      </c>
      <c r="C41">
        <v>526877</v>
      </c>
      <c r="D41" t="s">
        <v>32</v>
      </c>
      <c r="E41">
        <v>44</v>
      </c>
      <c r="F41" t="str">
        <f t="shared" si="0"/>
        <v>adult</v>
      </c>
      <c r="G41" t="s">
        <v>19</v>
      </c>
      <c r="H41" t="str">
        <f t="shared" si="1"/>
        <v>Dec</v>
      </c>
      <c r="I41" t="s">
        <v>20</v>
      </c>
      <c r="J41" t="s">
        <v>45</v>
      </c>
      <c r="K41" t="s">
        <v>128</v>
      </c>
      <c r="L41" t="s">
        <v>23</v>
      </c>
      <c r="M41" t="s">
        <v>47</v>
      </c>
      <c r="N41">
        <v>1</v>
      </c>
      <c r="O41" t="s">
        <v>25</v>
      </c>
      <c r="P41">
        <v>1674</v>
      </c>
      <c r="Q41" t="s">
        <v>36</v>
      </c>
      <c r="R41" t="s">
        <v>37</v>
      </c>
      <c r="S41" t="s">
        <v>38</v>
      </c>
      <c r="T41" t="s">
        <v>29</v>
      </c>
      <c r="U41" t="s">
        <v>43</v>
      </c>
    </row>
    <row r="42" spans="1:21" x14ac:dyDescent="0.25">
      <c r="A42">
        <v>41</v>
      </c>
      <c r="B42" t="s">
        <v>129</v>
      </c>
      <c r="C42">
        <v>970066</v>
      </c>
      <c r="D42" t="s">
        <v>18</v>
      </c>
      <c r="E42">
        <v>22</v>
      </c>
      <c r="F42" t="str">
        <f t="shared" si="0"/>
        <v>teenager</v>
      </c>
      <c r="G42" t="s">
        <v>19</v>
      </c>
      <c r="H42" t="str">
        <f t="shared" si="1"/>
        <v>Dec</v>
      </c>
      <c r="I42" t="s">
        <v>20</v>
      </c>
      <c r="J42" t="s">
        <v>40</v>
      </c>
      <c r="K42" t="s">
        <v>130</v>
      </c>
      <c r="L42" t="s">
        <v>42</v>
      </c>
      <c r="M42" t="s">
        <v>35</v>
      </c>
      <c r="N42">
        <v>1</v>
      </c>
      <c r="O42" t="s">
        <v>25</v>
      </c>
      <c r="P42">
        <v>1776</v>
      </c>
      <c r="Q42" t="s">
        <v>53</v>
      </c>
      <c r="R42" t="s">
        <v>54</v>
      </c>
      <c r="S42" t="s">
        <v>55</v>
      </c>
      <c r="T42" t="s">
        <v>29</v>
      </c>
      <c r="U42" t="s">
        <v>43</v>
      </c>
    </row>
    <row r="43" spans="1:21" x14ac:dyDescent="0.25">
      <c r="A43">
        <v>42</v>
      </c>
      <c r="B43" t="s">
        <v>131</v>
      </c>
      <c r="C43">
        <v>404591</v>
      </c>
      <c r="D43" t="s">
        <v>32</v>
      </c>
      <c r="E43">
        <v>70</v>
      </c>
      <c r="F43" t="str">
        <f t="shared" si="0"/>
        <v>senior</v>
      </c>
      <c r="G43" t="s">
        <v>19</v>
      </c>
      <c r="H43" t="str">
        <f t="shared" si="1"/>
        <v>Dec</v>
      </c>
      <c r="I43" t="s">
        <v>20</v>
      </c>
      <c r="J43" t="s">
        <v>45</v>
      </c>
      <c r="K43" t="s">
        <v>132</v>
      </c>
      <c r="L43" t="s">
        <v>58</v>
      </c>
      <c r="M43" t="s">
        <v>50</v>
      </c>
      <c r="N43">
        <v>1</v>
      </c>
      <c r="O43" t="s">
        <v>25</v>
      </c>
      <c r="P43">
        <v>1295</v>
      </c>
      <c r="Q43" t="s">
        <v>53</v>
      </c>
      <c r="R43" t="s">
        <v>54</v>
      </c>
      <c r="S43" t="s">
        <v>55</v>
      </c>
      <c r="T43" t="s">
        <v>29</v>
      </c>
      <c r="U43" t="s">
        <v>43</v>
      </c>
    </row>
    <row r="44" spans="1:21" x14ac:dyDescent="0.25">
      <c r="A44">
        <v>43</v>
      </c>
      <c r="B44" t="s">
        <v>133</v>
      </c>
      <c r="C44">
        <v>491314</v>
      </c>
      <c r="D44" t="s">
        <v>18</v>
      </c>
      <c r="E44">
        <v>41</v>
      </c>
      <c r="F44" t="str">
        <f t="shared" si="0"/>
        <v>adult</v>
      </c>
      <c r="G44" t="s">
        <v>19</v>
      </c>
      <c r="H44" t="str">
        <f t="shared" si="1"/>
        <v>Dec</v>
      </c>
      <c r="I44" t="s">
        <v>20</v>
      </c>
      <c r="J44" t="s">
        <v>21</v>
      </c>
      <c r="K44" t="s">
        <v>134</v>
      </c>
      <c r="L44" t="s">
        <v>42</v>
      </c>
      <c r="M44" t="s">
        <v>35</v>
      </c>
      <c r="N44">
        <v>1</v>
      </c>
      <c r="O44" t="s">
        <v>25</v>
      </c>
      <c r="P44">
        <v>663</v>
      </c>
      <c r="Q44" t="s">
        <v>26</v>
      </c>
      <c r="R44" t="s">
        <v>27</v>
      </c>
      <c r="S44" t="s">
        <v>28</v>
      </c>
      <c r="T44" t="s">
        <v>29</v>
      </c>
      <c r="U44" t="s">
        <v>43</v>
      </c>
    </row>
    <row r="45" spans="1:21" x14ac:dyDescent="0.25">
      <c r="A45">
        <v>44</v>
      </c>
      <c r="B45" t="s">
        <v>135</v>
      </c>
      <c r="C45">
        <v>676120</v>
      </c>
      <c r="D45" t="s">
        <v>32</v>
      </c>
      <c r="E45">
        <v>20</v>
      </c>
      <c r="F45" t="str">
        <f t="shared" si="0"/>
        <v>teenager</v>
      </c>
      <c r="G45" t="s">
        <v>19</v>
      </c>
      <c r="H45" t="str">
        <f t="shared" si="1"/>
        <v>Dec</v>
      </c>
      <c r="I45" t="s">
        <v>20</v>
      </c>
      <c r="J45" t="s">
        <v>40</v>
      </c>
      <c r="K45" t="s">
        <v>136</v>
      </c>
      <c r="L45" t="s">
        <v>23</v>
      </c>
      <c r="M45" t="s">
        <v>76</v>
      </c>
      <c r="N45">
        <v>1</v>
      </c>
      <c r="O45" t="s">
        <v>25</v>
      </c>
      <c r="P45">
        <v>1639</v>
      </c>
      <c r="Q45" t="s">
        <v>63</v>
      </c>
      <c r="R45" t="s">
        <v>64</v>
      </c>
      <c r="S45" t="s">
        <v>65</v>
      </c>
      <c r="T45" t="s">
        <v>29</v>
      </c>
      <c r="U45" t="s">
        <v>43</v>
      </c>
    </row>
    <row r="46" spans="1:21" x14ac:dyDescent="0.25">
      <c r="A46">
        <v>45</v>
      </c>
      <c r="B46" t="s">
        <v>137</v>
      </c>
      <c r="C46">
        <v>967858</v>
      </c>
      <c r="D46" t="s">
        <v>18</v>
      </c>
      <c r="E46">
        <v>30</v>
      </c>
      <c r="F46" t="str">
        <f t="shared" si="0"/>
        <v>adult</v>
      </c>
      <c r="G46" t="s">
        <v>19</v>
      </c>
      <c r="H46" t="str">
        <f t="shared" si="1"/>
        <v>Dec</v>
      </c>
      <c r="I46" t="s">
        <v>20</v>
      </c>
      <c r="J46" t="s">
        <v>21</v>
      </c>
      <c r="K46" t="s">
        <v>138</v>
      </c>
      <c r="L46" t="s">
        <v>23</v>
      </c>
      <c r="M46" t="s">
        <v>35</v>
      </c>
      <c r="N46">
        <v>1</v>
      </c>
      <c r="O46" t="s">
        <v>25</v>
      </c>
      <c r="P46">
        <v>1036</v>
      </c>
      <c r="Q46" t="s">
        <v>53</v>
      </c>
      <c r="R46" t="s">
        <v>54</v>
      </c>
      <c r="S46" t="s">
        <v>55</v>
      </c>
      <c r="T46" t="s">
        <v>29</v>
      </c>
      <c r="U46" t="s">
        <v>30</v>
      </c>
    </row>
    <row r="47" spans="1:21" x14ac:dyDescent="0.25">
      <c r="A47">
        <v>46</v>
      </c>
      <c r="B47" t="s">
        <v>139</v>
      </c>
      <c r="C47">
        <v>367168</v>
      </c>
      <c r="D47" t="s">
        <v>32</v>
      </c>
      <c r="E47">
        <v>56</v>
      </c>
      <c r="F47" t="str">
        <f t="shared" si="0"/>
        <v>senior</v>
      </c>
      <c r="G47" t="s">
        <v>19</v>
      </c>
      <c r="H47" t="str">
        <f t="shared" si="1"/>
        <v>Dec</v>
      </c>
      <c r="I47" t="s">
        <v>20</v>
      </c>
      <c r="J47" t="s">
        <v>21</v>
      </c>
      <c r="K47" t="s">
        <v>140</v>
      </c>
      <c r="L47" t="s">
        <v>58</v>
      </c>
      <c r="M47" t="s">
        <v>50</v>
      </c>
      <c r="N47">
        <v>1</v>
      </c>
      <c r="O47" t="s">
        <v>25</v>
      </c>
      <c r="P47">
        <v>814</v>
      </c>
      <c r="Q47" t="s">
        <v>53</v>
      </c>
      <c r="R47" t="s">
        <v>54</v>
      </c>
      <c r="S47" t="s">
        <v>55</v>
      </c>
      <c r="T47" t="s">
        <v>29</v>
      </c>
      <c r="U47" t="s">
        <v>30</v>
      </c>
    </row>
    <row r="48" spans="1:21" x14ac:dyDescent="0.25">
      <c r="A48">
        <v>47</v>
      </c>
      <c r="B48" t="s">
        <v>141</v>
      </c>
      <c r="C48">
        <v>584711</v>
      </c>
      <c r="D48" t="s">
        <v>18</v>
      </c>
      <c r="E48">
        <v>52</v>
      </c>
      <c r="F48" t="str">
        <f t="shared" si="0"/>
        <v>senior</v>
      </c>
      <c r="G48" t="s">
        <v>19</v>
      </c>
      <c r="H48" t="str">
        <f t="shared" si="1"/>
        <v>Dec</v>
      </c>
      <c r="I48" t="s">
        <v>20</v>
      </c>
      <c r="J48" t="s">
        <v>21</v>
      </c>
      <c r="K48" t="s">
        <v>142</v>
      </c>
      <c r="L48" t="s">
        <v>23</v>
      </c>
      <c r="M48" t="s">
        <v>24</v>
      </c>
      <c r="N48">
        <v>1</v>
      </c>
      <c r="O48" t="s">
        <v>25</v>
      </c>
      <c r="P48">
        <v>1579</v>
      </c>
      <c r="Q48" t="s">
        <v>63</v>
      </c>
      <c r="R48" t="s">
        <v>64</v>
      </c>
      <c r="S48" t="s">
        <v>65</v>
      </c>
      <c r="T48" t="s">
        <v>29</v>
      </c>
      <c r="U48" t="s">
        <v>43</v>
      </c>
    </row>
    <row r="49" spans="1:21" x14ac:dyDescent="0.25">
      <c r="A49">
        <v>48</v>
      </c>
      <c r="B49" t="s">
        <v>143</v>
      </c>
      <c r="C49">
        <v>171113</v>
      </c>
      <c r="D49" t="s">
        <v>32</v>
      </c>
      <c r="E49">
        <v>18</v>
      </c>
      <c r="F49" t="str">
        <f t="shared" si="0"/>
        <v>teenager</v>
      </c>
      <c r="G49" t="s">
        <v>19</v>
      </c>
      <c r="H49" t="str">
        <f t="shared" si="1"/>
        <v>Dec</v>
      </c>
      <c r="I49" t="s">
        <v>20</v>
      </c>
      <c r="J49" t="s">
        <v>45</v>
      </c>
      <c r="K49" t="s">
        <v>144</v>
      </c>
      <c r="L49" t="s">
        <v>23</v>
      </c>
      <c r="M49" t="s">
        <v>35</v>
      </c>
      <c r="N49">
        <v>1</v>
      </c>
      <c r="O49" t="s">
        <v>25</v>
      </c>
      <c r="P49">
        <v>1168</v>
      </c>
      <c r="Q49" t="s">
        <v>63</v>
      </c>
      <c r="R49" t="s">
        <v>64</v>
      </c>
      <c r="S49" t="s">
        <v>65</v>
      </c>
      <c r="T49" t="s">
        <v>29</v>
      </c>
      <c r="U49" t="s">
        <v>30</v>
      </c>
    </row>
    <row r="50" spans="1:21" x14ac:dyDescent="0.25">
      <c r="A50">
        <v>49</v>
      </c>
      <c r="B50" t="s">
        <v>145</v>
      </c>
      <c r="C50">
        <v>528616</v>
      </c>
      <c r="D50" t="s">
        <v>18</v>
      </c>
      <c r="E50">
        <v>33</v>
      </c>
      <c r="F50" t="str">
        <f t="shared" si="0"/>
        <v>adult</v>
      </c>
      <c r="G50" t="s">
        <v>19</v>
      </c>
      <c r="H50" t="str">
        <f t="shared" si="1"/>
        <v>Dec</v>
      </c>
      <c r="I50" t="s">
        <v>20</v>
      </c>
      <c r="J50" t="s">
        <v>45</v>
      </c>
      <c r="K50" t="s">
        <v>146</v>
      </c>
      <c r="L50" t="s">
        <v>58</v>
      </c>
      <c r="M50" t="s">
        <v>50</v>
      </c>
      <c r="N50">
        <v>1</v>
      </c>
      <c r="O50" t="s">
        <v>25</v>
      </c>
      <c r="P50">
        <v>1040</v>
      </c>
      <c r="Q50" t="s">
        <v>63</v>
      </c>
      <c r="R50" t="s">
        <v>64</v>
      </c>
      <c r="S50" t="s">
        <v>65</v>
      </c>
      <c r="T50" t="s">
        <v>29</v>
      </c>
      <c r="U50" t="s">
        <v>30</v>
      </c>
    </row>
    <row r="51" spans="1:21" x14ac:dyDescent="0.25">
      <c r="A51">
        <v>50</v>
      </c>
      <c r="B51" t="s">
        <v>147</v>
      </c>
      <c r="C51">
        <v>700730</v>
      </c>
      <c r="D51" t="s">
        <v>32</v>
      </c>
      <c r="E51">
        <v>62</v>
      </c>
      <c r="F51" t="str">
        <f t="shared" si="0"/>
        <v>senior</v>
      </c>
      <c r="G51" t="s">
        <v>19</v>
      </c>
      <c r="H51" t="str">
        <f t="shared" si="1"/>
        <v>Dec</v>
      </c>
      <c r="I51" t="s">
        <v>20</v>
      </c>
      <c r="J51" t="s">
        <v>33</v>
      </c>
      <c r="K51" t="s">
        <v>148</v>
      </c>
      <c r="L51" t="s">
        <v>23</v>
      </c>
      <c r="M51" t="s">
        <v>24</v>
      </c>
      <c r="N51">
        <v>1</v>
      </c>
      <c r="O51" t="s">
        <v>25</v>
      </c>
      <c r="P51">
        <v>1738</v>
      </c>
      <c r="Q51" t="s">
        <v>53</v>
      </c>
      <c r="R51" t="s">
        <v>54</v>
      </c>
      <c r="S51" t="s">
        <v>55</v>
      </c>
      <c r="T51" t="s">
        <v>29</v>
      </c>
      <c r="U51" t="s">
        <v>30</v>
      </c>
    </row>
    <row r="52" spans="1:21" x14ac:dyDescent="0.25">
      <c r="A52">
        <v>51</v>
      </c>
      <c r="B52" t="s">
        <v>149</v>
      </c>
      <c r="C52">
        <v>587642</v>
      </c>
      <c r="D52" t="s">
        <v>18</v>
      </c>
      <c r="E52">
        <v>54</v>
      </c>
      <c r="F52" t="str">
        <f t="shared" si="0"/>
        <v>senior</v>
      </c>
      <c r="G52" t="s">
        <v>19</v>
      </c>
      <c r="H52" t="str">
        <f t="shared" si="1"/>
        <v>Dec</v>
      </c>
      <c r="I52" t="s">
        <v>20</v>
      </c>
      <c r="J52" t="s">
        <v>40</v>
      </c>
      <c r="K52" t="s">
        <v>150</v>
      </c>
      <c r="L52" t="s">
        <v>42</v>
      </c>
      <c r="M52" t="s">
        <v>50</v>
      </c>
      <c r="N52">
        <v>1</v>
      </c>
      <c r="O52" t="s">
        <v>25</v>
      </c>
      <c r="P52">
        <v>1268</v>
      </c>
      <c r="Q52" t="s">
        <v>36</v>
      </c>
      <c r="R52" t="s">
        <v>37</v>
      </c>
      <c r="S52" t="s">
        <v>38</v>
      </c>
      <c r="T52" t="s">
        <v>29</v>
      </c>
      <c r="U52" t="s">
        <v>43</v>
      </c>
    </row>
    <row r="53" spans="1:21" x14ac:dyDescent="0.25">
      <c r="A53">
        <v>52</v>
      </c>
      <c r="B53" t="s">
        <v>151</v>
      </c>
      <c r="C53">
        <v>786073</v>
      </c>
      <c r="D53" t="s">
        <v>32</v>
      </c>
      <c r="E53">
        <v>23</v>
      </c>
      <c r="F53" t="str">
        <f t="shared" si="0"/>
        <v>teenager</v>
      </c>
      <c r="G53" t="s">
        <v>19</v>
      </c>
      <c r="H53" t="str">
        <f t="shared" si="1"/>
        <v>Dec</v>
      </c>
      <c r="I53" t="s">
        <v>20</v>
      </c>
      <c r="J53" t="s">
        <v>40</v>
      </c>
      <c r="K53" t="s">
        <v>152</v>
      </c>
      <c r="L53" t="s">
        <v>58</v>
      </c>
      <c r="M53" t="s">
        <v>24</v>
      </c>
      <c r="N53">
        <v>1</v>
      </c>
      <c r="O53" t="s">
        <v>25</v>
      </c>
      <c r="P53">
        <v>802</v>
      </c>
      <c r="Q53" t="s">
        <v>36</v>
      </c>
      <c r="R53" t="s">
        <v>37</v>
      </c>
      <c r="S53" t="s">
        <v>38</v>
      </c>
      <c r="T53" t="s">
        <v>29</v>
      </c>
      <c r="U53" t="s">
        <v>30</v>
      </c>
    </row>
    <row r="54" spans="1:21" x14ac:dyDescent="0.25">
      <c r="A54">
        <v>53</v>
      </c>
      <c r="B54" t="s">
        <v>153</v>
      </c>
      <c r="C54">
        <v>533618</v>
      </c>
      <c r="D54" t="s">
        <v>18</v>
      </c>
      <c r="E54">
        <v>67</v>
      </c>
      <c r="F54" t="str">
        <f t="shared" si="0"/>
        <v>senior</v>
      </c>
      <c r="G54" t="s">
        <v>19</v>
      </c>
      <c r="H54" t="str">
        <f t="shared" si="1"/>
        <v>Dec</v>
      </c>
      <c r="I54" t="s">
        <v>20</v>
      </c>
      <c r="J54" t="s">
        <v>45</v>
      </c>
      <c r="K54" t="s">
        <v>154</v>
      </c>
      <c r="L54" t="s">
        <v>42</v>
      </c>
      <c r="M54" t="s">
        <v>76</v>
      </c>
      <c r="N54">
        <v>1</v>
      </c>
      <c r="O54" t="s">
        <v>25</v>
      </c>
      <c r="P54">
        <v>1667</v>
      </c>
      <c r="Q54" t="s">
        <v>26</v>
      </c>
      <c r="R54" t="s">
        <v>27</v>
      </c>
      <c r="S54" t="s">
        <v>28</v>
      </c>
      <c r="T54" t="s">
        <v>29</v>
      </c>
      <c r="U54" t="s">
        <v>30</v>
      </c>
    </row>
    <row r="55" spans="1:21" x14ac:dyDescent="0.25">
      <c r="A55">
        <v>54</v>
      </c>
      <c r="B55" t="s">
        <v>155</v>
      </c>
      <c r="C55">
        <v>235486</v>
      </c>
      <c r="D55" t="s">
        <v>32</v>
      </c>
      <c r="E55">
        <v>49</v>
      </c>
      <c r="F55" t="str">
        <f t="shared" si="0"/>
        <v>adult</v>
      </c>
      <c r="G55" t="s">
        <v>19</v>
      </c>
      <c r="H55" t="str">
        <f t="shared" si="1"/>
        <v>Dec</v>
      </c>
      <c r="I55" t="s">
        <v>20</v>
      </c>
      <c r="J55" t="s">
        <v>45</v>
      </c>
      <c r="K55" t="s">
        <v>156</v>
      </c>
      <c r="L55" t="s">
        <v>58</v>
      </c>
      <c r="M55" t="s">
        <v>76</v>
      </c>
      <c r="N55">
        <v>1</v>
      </c>
      <c r="O55" t="s">
        <v>25</v>
      </c>
      <c r="P55">
        <v>761</v>
      </c>
      <c r="Q55" t="s">
        <v>53</v>
      </c>
      <c r="R55" t="s">
        <v>54</v>
      </c>
      <c r="S55" t="s">
        <v>55</v>
      </c>
      <c r="T55" t="s">
        <v>29</v>
      </c>
      <c r="U55" t="s">
        <v>43</v>
      </c>
    </row>
    <row r="56" spans="1:21" x14ac:dyDescent="0.25">
      <c r="A56">
        <v>55</v>
      </c>
      <c r="B56" t="s">
        <v>157</v>
      </c>
      <c r="C56">
        <v>140780</v>
      </c>
      <c r="D56" t="s">
        <v>18</v>
      </c>
      <c r="E56">
        <v>18</v>
      </c>
      <c r="F56" t="str">
        <f t="shared" si="0"/>
        <v>teenager</v>
      </c>
      <c r="G56" t="s">
        <v>19</v>
      </c>
      <c r="H56" t="str">
        <f t="shared" si="1"/>
        <v>Dec</v>
      </c>
      <c r="I56" t="s">
        <v>20</v>
      </c>
      <c r="J56" t="s">
        <v>21</v>
      </c>
      <c r="K56" t="s">
        <v>158</v>
      </c>
      <c r="L56" t="s">
        <v>58</v>
      </c>
      <c r="M56" t="s">
        <v>35</v>
      </c>
      <c r="N56">
        <v>1</v>
      </c>
      <c r="O56" t="s">
        <v>25</v>
      </c>
      <c r="P56">
        <v>1345</v>
      </c>
      <c r="Q56" t="s">
        <v>36</v>
      </c>
      <c r="R56" t="s">
        <v>37</v>
      </c>
      <c r="S56" t="s">
        <v>38</v>
      </c>
      <c r="T56" t="s">
        <v>29</v>
      </c>
      <c r="U56" t="s">
        <v>30</v>
      </c>
    </row>
    <row r="57" spans="1:21" x14ac:dyDescent="0.25">
      <c r="A57">
        <v>56</v>
      </c>
      <c r="B57" t="s">
        <v>159</v>
      </c>
      <c r="C57">
        <v>667077</v>
      </c>
      <c r="D57" t="s">
        <v>32</v>
      </c>
      <c r="E57">
        <v>65</v>
      </c>
      <c r="F57" t="str">
        <f t="shared" si="0"/>
        <v>senior</v>
      </c>
      <c r="G57" t="s">
        <v>19</v>
      </c>
      <c r="H57" t="str">
        <f t="shared" si="1"/>
        <v>Dec</v>
      </c>
      <c r="I57" t="s">
        <v>20</v>
      </c>
      <c r="J57" t="s">
        <v>40</v>
      </c>
      <c r="K57" t="s">
        <v>160</v>
      </c>
      <c r="L57" t="s">
        <v>58</v>
      </c>
      <c r="M57" t="s">
        <v>76</v>
      </c>
      <c r="N57">
        <v>1</v>
      </c>
      <c r="O57" t="s">
        <v>25</v>
      </c>
      <c r="P57">
        <v>1937</v>
      </c>
      <c r="Q57" t="s">
        <v>53</v>
      </c>
      <c r="R57" t="s">
        <v>54</v>
      </c>
      <c r="S57" t="s">
        <v>55</v>
      </c>
      <c r="T57" t="s">
        <v>29</v>
      </c>
      <c r="U57" t="s">
        <v>30</v>
      </c>
    </row>
    <row r="58" spans="1:21" x14ac:dyDescent="0.25">
      <c r="A58">
        <v>57</v>
      </c>
      <c r="B58" t="s">
        <v>161</v>
      </c>
      <c r="C58">
        <v>129090</v>
      </c>
      <c r="D58" t="s">
        <v>18</v>
      </c>
      <c r="E58">
        <v>68</v>
      </c>
      <c r="F58" t="str">
        <f t="shared" si="0"/>
        <v>senior</v>
      </c>
      <c r="G58" t="s">
        <v>19</v>
      </c>
      <c r="H58" t="str">
        <f t="shared" si="1"/>
        <v>Dec</v>
      </c>
      <c r="I58" t="s">
        <v>20</v>
      </c>
      <c r="J58" t="s">
        <v>45</v>
      </c>
      <c r="K58" t="s">
        <v>162</v>
      </c>
      <c r="L58" t="s">
        <v>42</v>
      </c>
      <c r="M58" t="s">
        <v>50</v>
      </c>
      <c r="N58">
        <v>1</v>
      </c>
      <c r="O58" t="s">
        <v>25</v>
      </c>
      <c r="P58">
        <v>1593</v>
      </c>
      <c r="Q58" t="s">
        <v>36</v>
      </c>
      <c r="R58" t="s">
        <v>37</v>
      </c>
      <c r="S58" t="s">
        <v>38</v>
      </c>
      <c r="T58" t="s">
        <v>29</v>
      </c>
      <c r="U58" t="s">
        <v>30</v>
      </c>
    </row>
    <row r="59" spans="1:21" x14ac:dyDescent="0.25">
      <c r="A59">
        <v>58</v>
      </c>
      <c r="B59" t="s">
        <v>163</v>
      </c>
      <c r="C59">
        <v>683074</v>
      </c>
      <c r="D59" t="s">
        <v>32</v>
      </c>
      <c r="E59">
        <v>42</v>
      </c>
      <c r="F59" t="str">
        <f t="shared" si="0"/>
        <v>adult</v>
      </c>
      <c r="G59" t="s">
        <v>19</v>
      </c>
      <c r="H59" t="str">
        <f t="shared" si="1"/>
        <v>Dec</v>
      </c>
      <c r="I59" t="s">
        <v>20</v>
      </c>
      <c r="J59" t="s">
        <v>40</v>
      </c>
      <c r="K59" t="s">
        <v>164</v>
      </c>
      <c r="L59" t="s">
        <v>42</v>
      </c>
      <c r="M59" t="s">
        <v>47</v>
      </c>
      <c r="N59">
        <v>1</v>
      </c>
      <c r="O59" t="s">
        <v>25</v>
      </c>
      <c r="P59">
        <v>1969</v>
      </c>
      <c r="Q59" t="s">
        <v>36</v>
      </c>
      <c r="R59" t="s">
        <v>37</v>
      </c>
      <c r="S59" t="s">
        <v>38</v>
      </c>
      <c r="T59" t="s">
        <v>29</v>
      </c>
      <c r="U59" t="s">
        <v>43</v>
      </c>
    </row>
    <row r="60" spans="1:21" x14ac:dyDescent="0.25">
      <c r="A60">
        <v>59</v>
      </c>
      <c r="B60" t="s">
        <v>165</v>
      </c>
      <c r="C60">
        <v>702870</v>
      </c>
      <c r="D60" t="s">
        <v>18</v>
      </c>
      <c r="E60">
        <v>20</v>
      </c>
      <c r="F60" t="str">
        <f t="shared" si="0"/>
        <v>teenager</v>
      </c>
      <c r="G60" t="s">
        <v>19</v>
      </c>
      <c r="H60" t="str">
        <f t="shared" si="1"/>
        <v>Dec</v>
      </c>
      <c r="I60" t="s">
        <v>20</v>
      </c>
      <c r="J60" t="s">
        <v>33</v>
      </c>
      <c r="K60" t="s">
        <v>166</v>
      </c>
      <c r="L60" t="s">
        <v>58</v>
      </c>
      <c r="M60" t="s">
        <v>47</v>
      </c>
      <c r="N60">
        <v>1</v>
      </c>
      <c r="O60" t="s">
        <v>25</v>
      </c>
      <c r="P60">
        <v>824</v>
      </c>
      <c r="Q60" t="s">
        <v>36</v>
      </c>
      <c r="R60" t="s">
        <v>37</v>
      </c>
      <c r="S60" t="s">
        <v>38</v>
      </c>
      <c r="T60" t="s">
        <v>29</v>
      </c>
      <c r="U60" t="s">
        <v>30</v>
      </c>
    </row>
    <row r="61" spans="1:21" x14ac:dyDescent="0.25">
      <c r="A61">
        <v>60</v>
      </c>
      <c r="B61" t="s">
        <v>167</v>
      </c>
      <c r="C61">
        <v>897571</v>
      </c>
      <c r="D61" t="s">
        <v>32</v>
      </c>
      <c r="E61">
        <v>43</v>
      </c>
      <c r="F61" t="str">
        <f t="shared" si="0"/>
        <v>adult</v>
      </c>
      <c r="G61" t="s">
        <v>19</v>
      </c>
      <c r="H61" t="str">
        <f t="shared" si="1"/>
        <v>Dec</v>
      </c>
      <c r="I61" t="s">
        <v>20</v>
      </c>
      <c r="J61" t="s">
        <v>21</v>
      </c>
      <c r="K61" t="s">
        <v>168</v>
      </c>
      <c r="L61" t="s">
        <v>42</v>
      </c>
      <c r="M61" t="s">
        <v>35</v>
      </c>
      <c r="N61">
        <v>1</v>
      </c>
      <c r="O61" t="s">
        <v>25</v>
      </c>
      <c r="P61">
        <v>1517</v>
      </c>
      <c r="Q61" t="s">
        <v>63</v>
      </c>
      <c r="R61" t="s">
        <v>64</v>
      </c>
      <c r="S61" t="s">
        <v>65</v>
      </c>
      <c r="T61" t="s">
        <v>29</v>
      </c>
      <c r="U61" t="s">
        <v>30</v>
      </c>
    </row>
    <row r="62" spans="1:21" x14ac:dyDescent="0.25">
      <c r="A62">
        <v>61</v>
      </c>
      <c r="B62" t="s">
        <v>169</v>
      </c>
      <c r="C62">
        <v>586864</v>
      </c>
      <c r="D62" t="s">
        <v>18</v>
      </c>
      <c r="E62">
        <v>55</v>
      </c>
      <c r="F62" t="str">
        <f t="shared" si="0"/>
        <v>senior</v>
      </c>
      <c r="G62" t="s">
        <v>19</v>
      </c>
      <c r="H62" t="str">
        <f t="shared" si="1"/>
        <v>Dec</v>
      </c>
      <c r="I62" t="s">
        <v>20</v>
      </c>
      <c r="J62" t="s">
        <v>45</v>
      </c>
      <c r="K62" t="s">
        <v>170</v>
      </c>
      <c r="L62" t="s">
        <v>42</v>
      </c>
      <c r="M62" t="s">
        <v>50</v>
      </c>
      <c r="N62">
        <v>1</v>
      </c>
      <c r="O62" t="s">
        <v>25</v>
      </c>
      <c r="P62">
        <v>1483</v>
      </c>
      <c r="Q62" t="s">
        <v>26</v>
      </c>
      <c r="R62" t="s">
        <v>27</v>
      </c>
      <c r="S62" t="s">
        <v>28</v>
      </c>
      <c r="T62" t="s">
        <v>29</v>
      </c>
      <c r="U62" t="s">
        <v>43</v>
      </c>
    </row>
    <row r="63" spans="1:21" x14ac:dyDescent="0.25">
      <c r="A63">
        <v>62</v>
      </c>
      <c r="B63" t="s">
        <v>171</v>
      </c>
      <c r="C63">
        <v>956393</v>
      </c>
      <c r="D63" t="s">
        <v>32</v>
      </c>
      <c r="E63">
        <v>32</v>
      </c>
      <c r="F63" t="str">
        <f t="shared" si="0"/>
        <v>adult</v>
      </c>
      <c r="G63" t="s">
        <v>19</v>
      </c>
      <c r="H63" t="str">
        <f t="shared" si="1"/>
        <v>Dec</v>
      </c>
      <c r="I63" t="s">
        <v>20</v>
      </c>
      <c r="J63" t="s">
        <v>33</v>
      </c>
      <c r="K63" t="s">
        <v>172</v>
      </c>
      <c r="L63" t="s">
        <v>42</v>
      </c>
      <c r="M63" t="s">
        <v>50</v>
      </c>
      <c r="N63">
        <v>1</v>
      </c>
      <c r="O63" t="s">
        <v>25</v>
      </c>
      <c r="P63">
        <v>722</v>
      </c>
      <c r="Q63" t="s">
        <v>63</v>
      </c>
      <c r="R63" t="s">
        <v>64</v>
      </c>
      <c r="S63" t="s">
        <v>65</v>
      </c>
      <c r="T63" t="s">
        <v>29</v>
      </c>
      <c r="U63" t="s">
        <v>43</v>
      </c>
    </row>
    <row r="64" spans="1:21" x14ac:dyDescent="0.25">
      <c r="A64">
        <v>63</v>
      </c>
      <c r="B64" t="s">
        <v>173</v>
      </c>
      <c r="C64">
        <v>961313</v>
      </c>
      <c r="D64" t="s">
        <v>18</v>
      </c>
      <c r="E64">
        <v>23</v>
      </c>
      <c r="F64" t="str">
        <f t="shared" si="0"/>
        <v>teenager</v>
      </c>
      <c r="G64" t="s">
        <v>19</v>
      </c>
      <c r="H64" t="str">
        <f t="shared" si="1"/>
        <v>Dec</v>
      </c>
      <c r="I64" t="s">
        <v>20</v>
      </c>
      <c r="J64" t="s">
        <v>21</v>
      </c>
      <c r="K64" t="s">
        <v>174</v>
      </c>
      <c r="L64" t="s">
        <v>58</v>
      </c>
      <c r="M64" t="s">
        <v>47</v>
      </c>
      <c r="N64">
        <v>1</v>
      </c>
      <c r="O64" t="s">
        <v>25</v>
      </c>
      <c r="P64">
        <v>1583</v>
      </c>
      <c r="Q64" t="s">
        <v>53</v>
      </c>
      <c r="R64" t="s">
        <v>54</v>
      </c>
      <c r="S64" t="s">
        <v>55</v>
      </c>
      <c r="T64" t="s">
        <v>29</v>
      </c>
      <c r="U64" t="s">
        <v>30</v>
      </c>
    </row>
    <row r="65" spans="1:21" x14ac:dyDescent="0.25">
      <c r="A65">
        <v>64</v>
      </c>
      <c r="B65" t="s">
        <v>175</v>
      </c>
      <c r="C65">
        <v>520613</v>
      </c>
      <c r="D65" t="s">
        <v>32</v>
      </c>
      <c r="E65">
        <v>40</v>
      </c>
      <c r="F65" t="str">
        <f t="shared" si="0"/>
        <v>adult</v>
      </c>
      <c r="G65" t="s">
        <v>19</v>
      </c>
      <c r="H65" t="str">
        <f t="shared" si="1"/>
        <v>Dec</v>
      </c>
      <c r="I65" t="s">
        <v>20</v>
      </c>
      <c r="J65" t="s">
        <v>45</v>
      </c>
      <c r="K65" t="s">
        <v>176</v>
      </c>
      <c r="L65" t="s">
        <v>42</v>
      </c>
      <c r="M65" t="s">
        <v>50</v>
      </c>
      <c r="N65">
        <v>1</v>
      </c>
      <c r="O65" t="s">
        <v>25</v>
      </c>
      <c r="P65">
        <v>632</v>
      </c>
      <c r="Q65" t="s">
        <v>63</v>
      </c>
      <c r="R65" t="s">
        <v>64</v>
      </c>
      <c r="S65" t="s">
        <v>65</v>
      </c>
      <c r="T65" t="s">
        <v>29</v>
      </c>
      <c r="U65" t="s">
        <v>30</v>
      </c>
    </row>
    <row r="66" spans="1:21" x14ac:dyDescent="0.25">
      <c r="A66">
        <v>65</v>
      </c>
      <c r="B66" t="s">
        <v>177</v>
      </c>
      <c r="C66">
        <v>547057</v>
      </c>
      <c r="D66" t="s">
        <v>18</v>
      </c>
      <c r="E66">
        <v>18</v>
      </c>
      <c r="F66" t="str">
        <f t="shared" si="0"/>
        <v>teenager</v>
      </c>
      <c r="G66" t="s">
        <v>19</v>
      </c>
      <c r="H66" t="str">
        <f t="shared" si="1"/>
        <v>Dec</v>
      </c>
      <c r="I66" t="s">
        <v>20</v>
      </c>
      <c r="J66" t="s">
        <v>40</v>
      </c>
      <c r="K66" t="s">
        <v>178</v>
      </c>
      <c r="L66" t="s">
        <v>23</v>
      </c>
      <c r="M66" t="s">
        <v>76</v>
      </c>
      <c r="N66">
        <v>1</v>
      </c>
      <c r="O66" t="s">
        <v>25</v>
      </c>
      <c r="P66">
        <v>621</v>
      </c>
      <c r="Q66" t="s">
        <v>26</v>
      </c>
      <c r="R66" t="s">
        <v>27</v>
      </c>
      <c r="S66" t="s">
        <v>28</v>
      </c>
      <c r="T66" t="s">
        <v>29</v>
      </c>
      <c r="U66" t="s">
        <v>43</v>
      </c>
    </row>
    <row r="67" spans="1:21" x14ac:dyDescent="0.25">
      <c r="A67">
        <v>66</v>
      </c>
      <c r="B67" t="s">
        <v>179</v>
      </c>
      <c r="C67">
        <v>933042</v>
      </c>
      <c r="D67" t="s">
        <v>32</v>
      </c>
      <c r="E67">
        <v>36</v>
      </c>
      <c r="F67" t="str">
        <f t="shared" ref="F67:F130" si="2">IF(E67&gt;=50,"senior",IF(E67&gt;=30,"adult","teenager"))</f>
        <v>adult</v>
      </c>
      <c r="G67" t="s">
        <v>19</v>
      </c>
      <c r="H67" t="str">
        <f t="shared" ref="H67:H130" si="3">TEXT(G67,"mmm")</f>
        <v>Dec</v>
      </c>
      <c r="I67" t="s">
        <v>20</v>
      </c>
      <c r="J67" t="s">
        <v>40</v>
      </c>
      <c r="K67" t="s">
        <v>180</v>
      </c>
      <c r="L67" t="s">
        <v>23</v>
      </c>
      <c r="M67" t="s">
        <v>50</v>
      </c>
      <c r="N67">
        <v>1</v>
      </c>
      <c r="O67" t="s">
        <v>25</v>
      </c>
      <c r="P67">
        <v>838</v>
      </c>
      <c r="Q67" t="s">
        <v>63</v>
      </c>
      <c r="R67" t="s">
        <v>64</v>
      </c>
      <c r="S67" t="s">
        <v>65</v>
      </c>
      <c r="T67" t="s">
        <v>29</v>
      </c>
      <c r="U67" t="s">
        <v>30</v>
      </c>
    </row>
    <row r="68" spans="1:21" x14ac:dyDescent="0.25">
      <c r="A68">
        <v>67</v>
      </c>
      <c r="B68" t="s">
        <v>181</v>
      </c>
      <c r="C68">
        <v>304520</v>
      </c>
      <c r="D68" t="s">
        <v>18</v>
      </c>
      <c r="E68">
        <v>21</v>
      </c>
      <c r="F68" t="str">
        <f t="shared" si="2"/>
        <v>teenager</v>
      </c>
      <c r="G68" t="s">
        <v>19</v>
      </c>
      <c r="H68" t="str">
        <f t="shared" si="3"/>
        <v>Dec</v>
      </c>
      <c r="I68" t="s">
        <v>20</v>
      </c>
      <c r="J68" t="s">
        <v>21</v>
      </c>
      <c r="K68" t="s">
        <v>182</v>
      </c>
      <c r="L68" t="s">
        <v>23</v>
      </c>
      <c r="M68" t="s">
        <v>24</v>
      </c>
      <c r="N68">
        <v>1</v>
      </c>
      <c r="O68" t="s">
        <v>25</v>
      </c>
      <c r="P68">
        <v>1336</v>
      </c>
      <c r="Q68" t="s">
        <v>36</v>
      </c>
      <c r="R68" t="s">
        <v>37</v>
      </c>
      <c r="S68" t="s">
        <v>38</v>
      </c>
      <c r="T68" t="s">
        <v>29</v>
      </c>
      <c r="U68" t="s">
        <v>43</v>
      </c>
    </row>
    <row r="69" spans="1:21" x14ac:dyDescent="0.25">
      <c r="A69">
        <v>68</v>
      </c>
      <c r="B69" t="s">
        <v>183</v>
      </c>
      <c r="C69">
        <v>550860</v>
      </c>
      <c r="D69" t="s">
        <v>32</v>
      </c>
      <c r="E69">
        <v>62</v>
      </c>
      <c r="F69" t="str">
        <f t="shared" si="2"/>
        <v>senior</v>
      </c>
      <c r="G69" t="s">
        <v>19</v>
      </c>
      <c r="H69" t="str">
        <f t="shared" si="3"/>
        <v>Dec</v>
      </c>
      <c r="I69" t="s">
        <v>20</v>
      </c>
      <c r="J69" t="s">
        <v>21</v>
      </c>
      <c r="K69" t="s">
        <v>184</v>
      </c>
      <c r="L69" t="s">
        <v>23</v>
      </c>
      <c r="M69" t="s">
        <v>50</v>
      </c>
      <c r="N69">
        <v>1</v>
      </c>
      <c r="O69" t="s">
        <v>25</v>
      </c>
      <c r="P69">
        <v>1173</v>
      </c>
      <c r="Q69" t="s">
        <v>53</v>
      </c>
      <c r="R69" t="s">
        <v>54</v>
      </c>
      <c r="S69" t="s">
        <v>55</v>
      </c>
      <c r="T69" t="s">
        <v>29</v>
      </c>
      <c r="U69" t="s">
        <v>30</v>
      </c>
    </row>
    <row r="70" spans="1:21" x14ac:dyDescent="0.25">
      <c r="A70">
        <v>69</v>
      </c>
      <c r="B70" t="s">
        <v>185</v>
      </c>
      <c r="C70">
        <v>541982</v>
      </c>
      <c r="D70" t="s">
        <v>18</v>
      </c>
      <c r="E70">
        <v>59</v>
      </c>
      <c r="F70" t="str">
        <f t="shared" si="2"/>
        <v>senior</v>
      </c>
      <c r="G70" t="s">
        <v>19</v>
      </c>
      <c r="H70" t="str">
        <f t="shared" si="3"/>
        <v>Dec</v>
      </c>
      <c r="I70" t="s">
        <v>20</v>
      </c>
      <c r="J70" t="s">
        <v>33</v>
      </c>
      <c r="K70" t="s">
        <v>186</v>
      </c>
      <c r="L70" t="s">
        <v>23</v>
      </c>
      <c r="M70" t="s">
        <v>35</v>
      </c>
      <c r="N70">
        <v>1</v>
      </c>
      <c r="O70" t="s">
        <v>25</v>
      </c>
      <c r="P70">
        <v>1459</v>
      </c>
      <c r="Q70" t="s">
        <v>53</v>
      </c>
      <c r="R70" t="s">
        <v>54</v>
      </c>
      <c r="S70" t="s">
        <v>55</v>
      </c>
      <c r="T70" t="s">
        <v>29</v>
      </c>
      <c r="U70" t="s">
        <v>43</v>
      </c>
    </row>
    <row r="71" spans="1:21" x14ac:dyDescent="0.25">
      <c r="A71">
        <v>70</v>
      </c>
      <c r="B71" t="s">
        <v>187</v>
      </c>
      <c r="C71">
        <v>564750</v>
      </c>
      <c r="D71" t="s">
        <v>32</v>
      </c>
      <c r="E71">
        <v>28</v>
      </c>
      <c r="F71" t="str">
        <f t="shared" si="2"/>
        <v>teenager</v>
      </c>
      <c r="G71" t="s">
        <v>19</v>
      </c>
      <c r="H71" t="str">
        <f t="shared" si="3"/>
        <v>Dec</v>
      </c>
      <c r="I71" t="s">
        <v>20</v>
      </c>
      <c r="J71" t="s">
        <v>40</v>
      </c>
      <c r="K71" t="s">
        <v>188</v>
      </c>
      <c r="L71" t="s">
        <v>58</v>
      </c>
      <c r="M71" t="s">
        <v>50</v>
      </c>
      <c r="N71">
        <v>1</v>
      </c>
      <c r="O71" t="s">
        <v>25</v>
      </c>
      <c r="P71">
        <v>1798</v>
      </c>
      <c r="Q71" t="s">
        <v>36</v>
      </c>
      <c r="R71" t="s">
        <v>37</v>
      </c>
      <c r="S71" t="s">
        <v>38</v>
      </c>
      <c r="T71" t="s">
        <v>29</v>
      </c>
      <c r="U71" t="s">
        <v>43</v>
      </c>
    </row>
    <row r="72" spans="1:21" x14ac:dyDescent="0.25">
      <c r="A72">
        <v>71</v>
      </c>
      <c r="B72" t="s">
        <v>189</v>
      </c>
      <c r="C72">
        <v>495357</v>
      </c>
      <c r="D72" t="s">
        <v>18</v>
      </c>
      <c r="E72">
        <v>27</v>
      </c>
      <c r="F72" t="str">
        <f t="shared" si="2"/>
        <v>teenager</v>
      </c>
      <c r="G72" t="s">
        <v>19</v>
      </c>
      <c r="H72" t="str">
        <f t="shared" si="3"/>
        <v>Dec</v>
      </c>
      <c r="I72" t="s">
        <v>20</v>
      </c>
      <c r="J72" t="s">
        <v>40</v>
      </c>
      <c r="K72" t="s">
        <v>190</v>
      </c>
      <c r="L72" t="s">
        <v>23</v>
      </c>
      <c r="M72" t="s">
        <v>50</v>
      </c>
      <c r="N72">
        <v>1</v>
      </c>
      <c r="O72" t="s">
        <v>25</v>
      </c>
      <c r="P72">
        <v>768</v>
      </c>
      <c r="Q72" t="s">
        <v>26</v>
      </c>
      <c r="R72" t="s">
        <v>27</v>
      </c>
      <c r="S72" t="s">
        <v>28</v>
      </c>
      <c r="T72" t="s">
        <v>29</v>
      </c>
      <c r="U72" t="s">
        <v>30</v>
      </c>
    </row>
    <row r="73" spans="1:21" x14ac:dyDescent="0.25">
      <c r="A73">
        <v>72</v>
      </c>
      <c r="B73" t="s">
        <v>191</v>
      </c>
      <c r="C73">
        <v>842570</v>
      </c>
      <c r="D73" t="s">
        <v>32</v>
      </c>
      <c r="E73">
        <v>33</v>
      </c>
      <c r="F73" t="str">
        <f t="shared" si="2"/>
        <v>adult</v>
      </c>
      <c r="G73" t="s">
        <v>19</v>
      </c>
      <c r="H73" t="str">
        <f t="shared" si="3"/>
        <v>Dec</v>
      </c>
      <c r="I73" t="s">
        <v>20</v>
      </c>
      <c r="J73" t="s">
        <v>33</v>
      </c>
      <c r="K73" t="s">
        <v>192</v>
      </c>
      <c r="L73" t="s">
        <v>23</v>
      </c>
      <c r="M73" t="s">
        <v>76</v>
      </c>
      <c r="N73">
        <v>1</v>
      </c>
      <c r="O73" t="s">
        <v>25</v>
      </c>
      <c r="P73">
        <v>1114</v>
      </c>
      <c r="Q73" t="s">
        <v>36</v>
      </c>
      <c r="R73" t="s">
        <v>37</v>
      </c>
      <c r="S73" t="s">
        <v>38</v>
      </c>
      <c r="T73" t="s">
        <v>29</v>
      </c>
      <c r="U73" t="s">
        <v>43</v>
      </c>
    </row>
    <row r="74" spans="1:21" x14ac:dyDescent="0.25">
      <c r="A74">
        <v>73</v>
      </c>
      <c r="B74" t="s">
        <v>193</v>
      </c>
      <c r="C74">
        <v>362231</v>
      </c>
      <c r="D74" t="s">
        <v>18</v>
      </c>
      <c r="E74">
        <v>55</v>
      </c>
      <c r="F74" t="str">
        <f t="shared" si="2"/>
        <v>senior</v>
      </c>
      <c r="G74" t="s">
        <v>19</v>
      </c>
      <c r="H74" t="str">
        <f t="shared" si="3"/>
        <v>Dec</v>
      </c>
      <c r="I74" t="s">
        <v>20</v>
      </c>
      <c r="J74" t="s">
        <v>45</v>
      </c>
      <c r="K74" t="s">
        <v>194</v>
      </c>
      <c r="L74" t="s">
        <v>23</v>
      </c>
      <c r="M74" t="s">
        <v>35</v>
      </c>
      <c r="N74">
        <v>1</v>
      </c>
      <c r="O74" t="s">
        <v>25</v>
      </c>
      <c r="P74">
        <v>622</v>
      </c>
      <c r="Q74" t="s">
        <v>63</v>
      </c>
      <c r="R74" t="s">
        <v>64</v>
      </c>
      <c r="S74" t="s">
        <v>65</v>
      </c>
      <c r="T74" t="s">
        <v>29</v>
      </c>
      <c r="U74" t="s">
        <v>30</v>
      </c>
    </row>
    <row r="75" spans="1:21" x14ac:dyDescent="0.25">
      <c r="A75">
        <v>74</v>
      </c>
      <c r="B75" t="s">
        <v>195</v>
      </c>
      <c r="C75">
        <v>187329</v>
      </c>
      <c r="D75" t="s">
        <v>32</v>
      </c>
      <c r="E75">
        <v>22</v>
      </c>
      <c r="F75" t="str">
        <f t="shared" si="2"/>
        <v>teenager</v>
      </c>
      <c r="G75" t="s">
        <v>19</v>
      </c>
      <c r="H75" t="str">
        <f t="shared" si="3"/>
        <v>Dec</v>
      </c>
      <c r="I75" t="s">
        <v>20</v>
      </c>
      <c r="J75" t="s">
        <v>40</v>
      </c>
      <c r="K75" t="s">
        <v>196</v>
      </c>
      <c r="L75" t="s">
        <v>23</v>
      </c>
      <c r="M75" t="s">
        <v>50</v>
      </c>
      <c r="N75">
        <v>1</v>
      </c>
      <c r="O75" t="s">
        <v>25</v>
      </c>
      <c r="P75">
        <v>1444</v>
      </c>
      <c r="Q75" t="s">
        <v>53</v>
      </c>
      <c r="R75" t="s">
        <v>54</v>
      </c>
      <c r="S75" t="s">
        <v>55</v>
      </c>
      <c r="T75" t="s">
        <v>29</v>
      </c>
      <c r="U75" t="s">
        <v>30</v>
      </c>
    </row>
    <row r="76" spans="1:21" x14ac:dyDescent="0.25">
      <c r="A76">
        <v>75</v>
      </c>
      <c r="B76" t="s">
        <v>197</v>
      </c>
      <c r="C76">
        <v>915756</v>
      </c>
      <c r="D76" t="s">
        <v>18</v>
      </c>
      <c r="E76">
        <v>26</v>
      </c>
      <c r="F76" t="str">
        <f t="shared" si="2"/>
        <v>teenager</v>
      </c>
      <c r="G76" t="s">
        <v>19</v>
      </c>
      <c r="H76" t="str">
        <f t="shared" si="3"/>
        <v>Dec</v>
      </c>
      <c r="I76" t="s">
        <v>20</v>
      </c>
      <c r="J76" t="s">
        <v>33</v>
      </c>
      <c r="K76" t="s">
        <v>198</v>
      </c>
      <c r="L76" t="s">
        <v>42</v>
      </c>
      <c r="M76" t="s">
        <v>47</v>
      </c>
      <c r="N76">
        <v>1</v>
      </c>
      <c r="O76" t="s">
        <v>25</v>
      </c>
      <c r="P76">
        <v>1814</v>
      </c>
      <c r="Q76" t="s">
        <v>53</v>
      </c>
      <c r="R76" t="s">
        <v>54</v>
      </c>
      <c r="S76" t="s">
        <v>55</v>
      </c>
      <c r="T76" t="s">
        <v>29</v>
      </c>
      <c r="U76" t="s">
        <v>30</v>
      </c>
    </row>
    <row r="77" spans="1:21" x14ac:dyDescent="0.25">
      <c r="A77">
        <v>76</v>
      </c>
      <c r="B77" t="s">
        <v>199</v>
      </c>
      <c r="C77">
        <v>335097</v>
      </c>
      <c r="D77" t="s">
        <v>32</v>
      </c>
      <c r="E77">
        <v>52</v>
      </c>
      <c r="F77" t="str">
        <f t="shared" si="2"/>
        <v>senior</v>
      </c>
      <c r="G77" t="s">
        <v>19</v>
      </c>
      <c r="H77" t="str">
        <f t="shared" si="3"/>
        <v>Dec</v>
      </c>
      <c r="I77" t="s">
        <v>20</v>
      </c>
      <c r="J77" t="s">
        <v>21</v>
      </c>
      <c r="K77" t="s">
        <v>200</v>
      </c>
      <c r="L77" t="s">
        <v>42</v>
      </c>
      <c r="M77" t="s">
        <v>50</v>
      </c>
      <c r="N77">
        <v>1</v>
      </c>
      <c r="O77" t="s">
        <v>25</v>
      </c>
      <c r="P77">
        <v>1231</v>
      </c>
      <c r="Q77" t="s">
        <v>53</v>
      </c>
      <c r="R77" t="s">
        <v>54</v>
      </c>
      <c r="S77" t="s">
        <v>55</v>
      </c>
      <c r="T77" t="s">
        <v>29</v>
      </c>
      <c r="U77" t="s">
        <v>30</v>
      </c>
    </row>
    <row r="78" spans="1:21" x14ac:dyDescent="0.25">
      <c r="A78">
        <v>77</v>
      </c>
      <c r="B78" t="s">
        <v>201</v>
      </c>
      <c r="C78">
        <v>999709</v>
      </c>
      <c r="D78" t="s">
        <v>18</v>
      </c>
      <c r="E78">
        <v>24</v>
      </c>
      <c r="F78" t="str">
        <f t="shared" si="2"/>
        <v>teenager</v>
      </c>
      <c r="G78" t="s">
        <v>19</v>
      </c>
      <c r="H78" t="str">
        <f t="shared" si="3"/>
        <v>Dec</v>
      </c>
      <c r="I78" t="s">
        <v>20</v>
      </c>
      <c r="J78" t="s">
        <v>45</v>
      </c>
      <c r="K78" t="s">
        <v>202</v>
      </c>
      <c r="L78" t="s">
        <v>42</v>
      </c>
      <c r="M78" t="s">
        <v>35</v>
      </c>
      <c r="N78">
        <v>1</v>
      </c>
      <c r="O78" t="s">
        <v>25</v>
      </c>
      <c r="P78">
        <v>644</v>
      </c>
      <c r="Q78" t="s">
        <v>63</v>
      </c>
      <c r="R78" t="s">
        <v>64</v>
      </c>
      <c r="S78" t="s">
        <v>65</v>
      </c>
      <c r="T78" t="s">
        <v>29</v>
      </c>
      <c r="U78" t="s">
        <v>30</v>
      </c>
    </row>
    <row r="79" spans="1:21" x14ac:dyDescent="0.25">
      <c r="A79">
        <v>78</v>
      </c>
      <c r="B79" t="s">
        <v>203</v>
      </c>
      <c r="C79">
        <v>342896</v>
      </c>
      <c r="D79" t="s">
        <v>32</v>
      </c>
      <c r="E79">
        <v>33</v>
      </c>
      <c r="F79" t="str">
        <f t="shared" si="2"/>
        <v>adult</v>
      </c>
      <c r="G79" t="s">
        <v>19</v>
      </c>
      <c r="H79" t="str">
        <f t="shared" si="3"/>
        <v>Dec</v>
      </c>
      <c r="I79" t="s">
        <v>20</v>
      </c>
      <c r="J79" t="s">
        <v>40</v>
      </c>
      <c r="K79" t="s">
        <v>204</v>
      </c>
      <c r="L79" t="s">
        <v>42</v>
      </c>
      <c r="M79" t="s">
        <v>50</v>
      </c>
      <c r="N79">
        <v>1</v>
      </c>
      <c r="O79" t="s">
        <v>25</v>
      </c>
      <c r="P79">
        <v>510</v>
      </c>
      <c r="Q79" t="s">
        <v>53</v>
      </c>
      <c r="R79" t="s">
        <v>54</v>
      </c>
      <c r="S79" t="s">
        <v>55</v>
      </c>
      <c r="T79" t="s">
        <v>29</v>
      </c>
      <c r="U79" t="s">
        <v>30</v>
      </c>
    </row>
    <row r="80" spans="1:21" x14ac:dyDescent="0.25">
      <c r="A80">
        <v>79</v>
      </c>
      <c r="B80" t="s">
        <v>205</v>
      </c>
      <c r="C80">
        <v>742389</v>
      </c>
      <c r="D80" t="s">
        <v>18</v>
      </c>
      <c r="E80">
        <v>41</v>
      </c>
      <c r="F80" t="str">
        <f t="shared" si="2"/>
        <v>adult</v>
      </c>
      <c r="G80" t="s">
        <v>19</v>
      </c>
      <c r="H80" t="str">
        <f t="shared" si="3"/>
        <v>Dec</v>
      </c>
      <c r="I80" t="s">
        <v>20</v>
      </c>
      <c r="J80" t="s">
        <v>33</v>
      </c>
      <c r="K80" t="s">
        <v>206</v>
      </c>
      <c r="L80" t="s">
        <v>42</v>
      </c>
      <c r="M80" t="s">
        <v>47</v>
      </c>
      <c r="N80">
        <v>1</v>
      </c>
      <c r="O80" t="s">
        <v>25</v>
      </c>
      <c r="P80">
        <v>1041</v>
      </c>
      <c r="Q80" t="s">
        <v>36</v>
      </c>
      <c r="R80" t="s">
        <v>37</v>
      </c>
      <c r="S80" t="s">
        <v>38</v>
      </c>
      <c r="T80" t="s">
        <v>29</v>
      </c>
      <c r="U80" t="s">
        <v>43</v>
      </c>
    </row>
    <row r="81" spans="1:21" x14ac:dyDescent="0.25">
      <c r="A81">
        <v>80</v>
      </c>
      <c r="B81" t="s">
        <v>207</v>
      </c>
      <c r="C81">
        <v>459259</v>
      </c>
      <c r="D81" t="s">
        <v>32</v>
      </c>
      <c r="E81">
        <v>62</v>
      </c>
      <c r="F81" t="str">
        <f t="shared" si="2"/>
        <v>senior</v>
      </c>
      <c r="G81" t="s">
        <v>19</v>
      </c>
      <c r="H81" t="str">
        <f t="shared" si="3"/>
        <v>Dec</v>
      </c>
      <c r="I81" t="s">
        <v>20</v>
      </c>
      <c r="J81" t="s">
        <v>33</v>
      </c>
      <c r="K81" t="s">
        <v>208</v>
      </c>
      <c r="L81" t="s">
        <v>42</v>
      </c>
      <c r="M81" t="s">
        <v>47</v>
      </c>
      <c r="N81">
        <v>1</v>
      </c>
      <c r="O81" t="s">
        <v>25</v>
      </c>
      <c r="P81">
        <v>1379</v>
      </c>
      <c r="Q81" t="s">
        <v>36</v>
      </c>
      <c r="R81" t="s">
        <v>37</v>
      </c>
      <c r="S81" t="s">
        <v>38</v>
      </c>
      <c r="T81" t="s">
        <v>29</v>
      </c>
      <c r="U81" t="s">
        <v>43</v>
      </c>
    </row>
    <row r="82" spans="1:21" x14ac:dyDescent="0.25">
      <c r="A82">
        <v>81</v>
      </c>
      <c r="B82" t="s">
        <v>209</v>
      </c>
      <c r="C82">
        <v>865387</v>
      </c>
      <c r="D82" t="s">
        <v>18</v>
      </c>
      <c r="E82">
        <v>63</v>
      </c>
      <c r="F82" t="str">
        <f t="shared" si="2"/>
        <v>senior</v>
      </c>
      <c r="G82" t="s">
        <v>19</v>
      </c>
      <c r="H82" t="str">
        <f t="shared" si="3"/>
        <v>Dec</v>
      </c>
      <c r="I82" t="s">
        <v>20</v>
      </c>
      <c r="J82" t="s">
        <v>33</v>
      </c>
      <c r="K82" t="s">
        <v>210</v>
      </c>
      <c r="L82" t="s">
        <v>58</v>
      </c>
      <c r="M82" t="s">
        <v>35</v>
      </c>
      <c r="N82">
        <v>1</v>
      </c>
      <c r="O82" t="s">
        <v>25</v>
      </c>
      <c r="P82">
        <v>1447</v>
      </c>
      <c r="Q82" t="s">
        <v>53</v>
      </c>
      <c r="R82" t="s">
        <v>54</v>
      </c>
      <c r="S82" t="s">
        <v>55</v>
      </c>
      <c r="T82" t="s">
        <v>29</v>
      </c>
      <c r="U82" t="s">
        <v>30</v>
      </c>
    </row>
    <row r="83" spans="1:21" x14ac:dyDescent="0.25">
      <c r="A83">
        <v>82</v>
      </c>
      <c r="B83" t="s">
        <v>211</v>
      </c>
      <c r="C83">
        <v>289830</v>
      </c>
      <c r="D83" t="s">
        <v>32</v>
      </c>
      <c r="E83">
        <v>52</v>
      </c>
      <c r="F83" t="str">
        <f t="shared" si="2"/>
        <v>senior</v>
      </c>
      <c r="G83" t="s">
        <v>19</v>
      </c>
      <c r="H83" t="str">
        <f t="shared" si="3"/>
        <v>Dec</v>
      </c>
      <c r="I83" t="s">
        <v>20</v>
      </c>
      <c r="J83" t="s">
        <v>45</v>
      </c>
      <c r="K83" t="s">
        <v>212</v>
      </c>
      <c r="L83" t="s">
        <v>42</v>
      </c>
      <c r="M83" t="s">
        <v>76</v>
      </c>
      <c r="N83">
        <v>1</v>
      </c>
      <c r="O83" t="s">
        <v>25</v>
      </c>
      <c r="P83">
        <v>1590</v>
      </c>
      <c r="Q83" t="s">
        <v>36</v>
      </c>
      <c r="R83" t="s">
        <v>37</v>
      </c>
      <c r="S83" t="s">
        <v>38</v>
      </c>
      <c r="T83" t="s">
        <v>29</v>
      </c>
      <c r="U83" t="s">
        <v>43</v>
      </c>
    </row>
    <row r="84" spans="1:21" x14ac:dyDescent="0.25">
      <c r="A84">
        <v>83</v>
      </c>
      <c r="B84" t="s">
        <v>213</v>
      </c>
      <c r="C84">
        <v>343700</v>
      </c>
      <c r="D84" t="s">
        <v>18</v>
      </c>
      <c r="E84">
        <v>35</v>
      </c>
      <c r="F84" t="str">
        <f t="shared" si="2"/>
        <v>adult</v>
      </c>
      <c r="G84" t="s">
        <v>19</v>
      </c>
      <c r="H84" t="str">
        <f t="shared" si="3"/>
        <v>Dec</v>
      </c>
      <c r="I84" t="s">
        <v>20</v>
      </c>
      <c r="J84" t="s">
        <v>33</v>
      </c>
      <c r="K84" t="s">
        <v>214</v>
      </c>
      <c r="L84" t="s">
        <v>42</v>
      </c>
      <c r="M84" t="s">
        <v>47</v>
      </c>
      <c r="N84">
        <v>1</v>
      </c>
      <c r="O84" t="s">
        <v>25</v>
      </c>
      <c r="P84">
        <v>1926</v>
      </c>
      <c r="Q84" t="s">
        <v>26</v>
      </c>
      <c r="R84" t="s">
        <v>27</v>
      </c>
      <c r="S84" t="s">
        <v>28</v>
      </c>
      <c r="T84" t="s">
        <v>29</v>
      </c>
      <c r="U84" t="s">
        <v>43</v>
      </c>
    </row>
    <row r="85" spans="1:21" x14ac:dyDescent="0.25">
      <c r="A85">
        <v>84</v>
      </c>
      <c r="B85" t="s">
        <v>215</v>
      </c>
      <c r="C85">
        <v>711842</v>
      </c>
      <c r="D85" t="s">
        <v>32</v>
      </c>
      <c r="E85">
        <v>53</v>
      </c>
      <c r="F85" t="str">
        <f t="shared" si="2"/>
        <v>senior</v>
      </c>
      <c r="G85" t="s">
        <v>19</v>
      </c>
      <c r="H85" t="str">
        <f t="shared" si="3"/>
        <v>Dec</v>
      </c>
      <c r="I85" t="s">
        <v>20</v>
      </c>
      <c r="J85" t="s">
        <v>33</v>
      </c>
      <c r="K85" t="s">
        <v>216</v>
      </c>
      <c r="L85" t="s">
        <v>58</v>
      </c>
      <c r="M85" t="s">
        <v>47</v>
      </c>
      <c r="N85">
        <v>1</v>
      </c>
      <c r="O85" t="s">
        <v>25</v>
      </c>
      <c r="P85">
        <v>1614</v>
      </c>
      <c r="Q85" t="s">
        <v>63</v>
      </c>
      <c r="R85" t="s">
        <v>64</v>
      </c>
      <c r="S85" t="s">
        <v>65</v>
      </c>
      <c r="T85" t="s">
        <v>29</v>
      </c>
      <c r="U85" t="s">
        <v>43</v>
      </c>
    </row>
    <row r="86" spans="1:21" x14ac:dyDescent="0.25">
      <c r="A86">
        <v>85</v>
      </c>
      <c r="B86" t="s">
        <v>217</v>
      </c>
      <c r="C86">
        <v>953105</v>
      </c>
      <c r="D86" t="s">
        <v>18</v>
      </c>
      <c r="E86">
        <v>24</v>
      </c>
      <c r="F86" t="str">
        <f t="shared" si="2"/>
        <v>teenager</v>
      </c>
      <c r="G86" t="s">
        <v>19</v>
      </c>
      <c r="H86" t="str">
        <f t="shared" si="3"/>
        <v>Dec</v>
      </c>
      <c r="I86" t="s">
        <v>20</v>
      </c>
      <c r="J86" t="s">
        <v>45</v>
      </c>
      <c r="K86" t="s">
        <v>218</v>
      </c>
      <c r="L86" t="s">
        <v>58</v>
      </c>
      <c r="M86" t="s">
        <v>76</v>
      </c>
      <c r="N86">
        <v>1</v>
      </c>
      <c r="O86" t="s">
        <v>25</v>
      </c>
      <c r="P86">
        <v>519</v>
      </c>
      <c r="Q86" t="s">
        <v>53</v>
      </c>
      <c r="R86" t="s">
        <v>54</v>
      </c>
      <c r="S86" t="s">
        <v>55</v>
      </c>
      <c r="T86" t="s">
        <v>29</v>
      </c>
      <c r="U86" t="s">
        <v>30</v>
      </c>
    </row>
    <row r="87" spans="1:21" x14ac:dyDescent="0.25">
      <c r="A87">
        <v>86</v>
      </c>
      <c r="B87" t="s">
        <v>219</v>
      </c>
      <c r="C87">
        <v>908178</v>
      </c>
      <c r="D87" t="s">
        <v>32</v>
      </c>
      <c r="E87">
        <v>47</v>
      </c>
      <c r="F87" t="str">
        <f t="shared" si="2"/>
        <v>adult</v>
      </c>
      <c r="G87" t="s">
        <v>19</v>
      </c>
      <c r="H87" t="str">
        <f t="shared" si="3"/>
        <v>Dec</v>
      </c>
      <c r="I87" t="s">
        <v>20</v>
      </c>
      <c r="J87" t="s">
        <v>45</v>
      </c>
      <c r="K87" t="s">
        <v>220</v>
      </c>
      <c r="L87" t="s">
        <v>58</v>
      </c>
      <c r="M87" t="s">
        <v>47</v>
      </c>
      <c r="N87">
        <v>1</v>
      </c>
      <c r="O87" t="s">
        <v>25</v>
      </c>
      <c r="P87">
        <v>1236</v>
      </c>
      <c r="Q87" t="s">
        <v>53</v>
      </c>
      <c r="R87" t="s">
        <v>54</v>
      </c>
      <c r="S87" t="s">
        <v>55</v>
      </c>
      <c r="T87" t="s">
        <v>29</v>
      </c>
      <c r="U87" t="s">
        <v>43</v>
      </c>
    </row>
    <row r="88" spans="1:21" x14ac:dyDescent="0.25">
      <c r="A88">
        <v>87</v>
      </c>
      <c r="B88" t="s">
        <v>221</v>
      </c>
      <c r="C88">
        <v>711428</v>
      </c>
      <c r="D88" t="s">
        <v>18</v>
      </c>
      <c r="E88">
        <v>60</v>
      </c>
      <c r="F88" t="str">
        <f t="shared" si="2"/>
        <v>senior</v>
      </c>
      <c r="G88" t="s">
        <v>19</v>
      </c>
      <c r="H88" t="str">
        <f t="shared" si="3"/>
        <v>Dec</v>
      </c>
      <c r="I88" t="s">
        <v>20</v>
      </c>
      <c r="J88" t="s">
        <v>33</v>
      </c>
      <c r="K88" t="s">
        <v>222</v>
      </c>
      <c r="L88" t="s">
        <v>23</v>
      </c>
      <c r="M88" t="s">
        <v>24</v>
      </c>
      <c r="N88">
        <v>1</v>
      </c>
      <c r="O88" t="s">
        <v>25</v>
      </c>
      <c r="P88">
        <v>935</v>
      </c>
      <c r="Q88" t="s">
        <v>63</v>
      </c>
      <c r="R88" t="s">
        <v>64</v>
      </c>
      <c r="S88" t="s">
        <v>65</v>
      </c>
      <c r="T88" t="s">
        <v>29</v>
      </c>
      <c r="U88" t="s">
        <v>30</v>
      </c>
    </row>
    <row r="89" spans="1:21" x14ac:dyDescent="0.25">
      <c r="A89">
        <v>88</v>
      </c>
      <c r="B89" t="s">
        <v>223</v>
      </c>
      <c r="C89">
        <v>187522</v>
      </c>
      <c r="D89" t="s">
        <v>32</v>
      </c>
      <c r="E89">
        <v>27</v>
      </c>
      <c r="F89" t="str">
        <f t="shared" si="2"/>
        <v>teenager</v>
      </c>
      <c r="G89" t="s">
        <v>19</v>
      </c>
      <c r="H89" t="str">
        <f t="shared" si="3"/>
        <v>Dec</v>
      </c>
      <c r="I89" t="s">
        <v>20</v>
      </c>
      <c r="J89" t="s">
        <v>45</v>
      </c>
      <c r="K89" t="s">
        <v>224</v>
      </c>
      <c r="L89" t="s">
        <v>42</v>
      </c>
      <c r="M89" t="s">
        <v>50</v>
      </c>
      <c r="N89">
        <v>1</v>
      </c>
      <c r="O89" t="s">
        <v>25</v>
      </c>
      <c r="P89">
        <v>1387</v>
      </c>
      <c r="Q89" t="s">
        <v>63</v>
      </c>
      <c r="R89" t="s">
        <v>64</v>
      </c>
      <c r="S89" t="s">
        <v>65</v>
      </c>
      <c r="T89" t="s">
        <v>29</v>
      </c>
      <c r="U89" t="s">
        <v>43</v>
      </c>
    </row>
    <row r="90" spans="1:21" x14ac:dyDescent="0.25">
      <c r="A90">
        <v>89</v>
      </c>
      <c r="B90" t="s">
        <v>225</v>
      </c>
      <c r="C90">
        <v>706715</v>
      </c>
      <c r="D90" t="s">
        <v>18</v>
      </c>
      <c r="E90">
        <v>57</v>
      </c>
      <c r="F90" t="str">
        <f t="shared" si="2"/>
        <v>senior</v>
      </c>
      <c r="G90" t="s">
        <v>19</v>
      </c>
      <c r="H90" t="str">
        <f t="shared" si="3"/>
        <v>Dec</v>
      </c>
      <c r="I90" t="s">
        <v>20</v>
      </c>
      <c r="J90" t="s">
        <v>40</v>
      </c>
      <c r="K90" t="s">
        <v>226</v>
      </c>
      <c r="L90" t="s">
        <v>58</v>
      </c>
      <c r="M90" t="s">
        <v>35</v>
      </c>
      <c r="N90">
        <v>1</v>
      </c>
      <c r="O90" t="s">
        <v>25</v>
      </c>
      <c r="P90">
        <v>1300</v>
      </c>
      <c r="Q90" t="s">
        <v>36</v>
      </c>
      <c r="R90" t="s">
        <v>37</v>
      </c>
      <c r="S90" t="s">
        <v>38</v>
      </c>
      <c r="T90" t="s">
        <v>29</v>
      </c>
      <c r="U90" t="s">
        <v>43</v>
      </c>
    </row>
    <row r="91" spans="1:21" x14ac:dyDescent="0.25">
      <c r="A91">
        <v>90</v>
      </c>
      <c r="B91" t="s">
        <v>227</v>
      </c>
      <c r="C91">
        <v>864535</v>
      </c>
      <c r="D91" t="s">
        <v>32</v>
      </c>
      <c r="E91">
        <v>19</v>
      </c>
      <c r="F91" t="str">
        <f t="shared" si="2"/>
        <v>teenager</v>
      </c>
      <c r="G91" t="s">
        <v>19</v>
      </c>
      <c r="H91" t="str">
        <f t="shared" si="3"/>
        <v>Dec</v>
      </c>
      <c r="I91" t="s">
        <v>20</v>
      </c>
      <c r="J91" t="s">
        <v>21</v>
      </c>
      <c r="K91" t="s">
        <v>228</v>
      </c>
      <c r="L91" t="s">
        <v>42</v>
      </c>
      <c r="M91" t="s">
        <v>24</v>
      </c>
      <c r="N91">
        <v>1</v>
      </c>
      <c r="O91" t="s">
        <v>25</v>
      </c>
      <c r="P91">
        <v>948</v>
      </c>
      <c r="Q91" t="s">
        <v>36</v>
      </c>
      <c r="R91" t="s">
        <v>37</v>
      </c>
      <c r="S91" t="s">
        <v>38</v>
      </c>
      <c r="T91" t="s">
        <v>29</v>
      </c>
      <c r="U91" t="s">
        <v>30</v>
      </c>
    </row>
    <row r="92" spans="1:21" x14ac:dyDescent="0.25">
      <c r="A92">
        <v>91</v>
      </c>
      <c r="B92" t="s">
        <v>229</v>
      </c>
      <c r="C92">
        <v>562330</v>
      </c>
      <c r="D92" t="s">
        <v>18</v>
      </c>
      <c r="E92">
        <v>42</v>
      </c>
      <c r="F92" t="str">
        <f t="shared" si="2"/>
        <v>adult</v>
      </c>
      <c r="G92" t="s">
        <v>19</v>
      </c>
      <c r="H92" t="str">
        <f t="shared" si="3"/>
        <v>Dec</v>
      </c>
      <c r="I92" t="s">
        <v>20</v>
      </c>
      <c r="J92" t="s">
        <v>21</v>
      </c>
      <c r="K92" t="s">
        <v>230</v>
      </c>
      <c r="L92" t="s">
        <v>42</v>
      </c>
      <c r="M92" t="s">
        <v>35</v>
      </c>
      <c r="N92">
        <v>1</v>
      </c>
      <c r="O92" t="s">
        <v>25</v>
      </c>
      <c r="P92">
        <v>1728</v>
      </c>
      <c r="Q92" t="s">
        <v>26</v>
      </c>
      <c r="R92" t="s">
        <v>27</v>
      </c>
      <c r="S92" t="s">
        <v>28</v>
      </c>
      <c r="T92" t="s">
        <v>29</v>
      </c>
      <c r="U92" t="s">
        <v>43</v>
      </c>
    </row>
    <row r="93" spans="1:21" x14ac:dyDescent="0.25">
      <c r="A93">
        <v>92</v>
      </c>
      <c r="B93" t="s">
        <v>231</v>
      </c>
      <c r="C93">
        <v>247958</v>
      </c>
      <c r="D93" t="s">
        <v>32</v>
      </c>
      <c r="E93">
        <v>47</v>
      </c>
      <c r="F93" t="str">
        <f t="shared" si="2"/>
        <v>adult</v>
      </c>
      <c r="G93" t="s">
        <v>19</v>
      </c>
      <c r="H93" t="str">
        <f t="shared" si="3"/>
        <v>Dec</v>
      </c>
      <c r="I93" t="s">
        <v>20</v>
      </c>
      <c r="J93" t="s">
        <v>45</v>
      </c>
      <c r="K93" t="s">
        <v>232</v>
      </c>
      <c r="L93" t="s">
        <v>42</v>
      </c>
      <c r="M93" t="s">
        <v>76</v>
      </c>
      <c r="N93">
        <v>1</v>
      </c>
      <c r="O93" t="s">
        <v>25</v>
      </c>
      <c r="P93">
        <v>352</v>
      </c>
      <c r="Q93" t="s">
        <v>36</v>
      </c>
      <c r="R93" t="s">
        <v>37</v>
      </c>
      <c r="S93" t="s">
        <v>38</v>
      </c>
      <c r="T93" t="s">
        <v>29</v>
      </c>
      <c r="U93" t="s">
        <v>43</v>
      </c>
    </row>
    <row r="94" spans="1:21" x14ac:dyDescent="0.25">
      <c r="A94">
        <v>93</v>
      </c>
      <c r="B94" t="s">
        <v>233</v>
      </c>
      <c r="C94">
        <v>808387</v>
      </c>
      <c r="D94" t="s">
        <v>18</v>
      </c>
      <c r="E94">
        <v>70</v>
      </c>
      <c r="F94" t="str">
        <f t="shared" si="2"/>
        <v>senior</v>
      </c>
      <c r="G94" t="s">
        <v>19</v>
      </c>
      <c r="H94" t="str">
        <f t="shared" si="3"/>
        <v>Dec</v>
      </c>
      <c r="I94" t="s">
        <v>20</v>
      </c>
      <c r="J94" t="s">
        <v>45</v>
      </c>
      <c r="K94" t="s">
        <v>234</v>
      </c>
      <c r="L94" t="s">
        <v>42</v>
      </c>
      <c r="M94" t="s">
        <v>47</v>
      </c>
      <c r="N94">
        <v>1</v>
      </c>
      <c r="O94" t="s">
        <v>25</v>
      </c>
      <c r="P94">
        <v>867</v>
      </c>
      <c r="Q94" t="s">
        <v>26</v>
      </c>
      <c r="R94" t="s">
        <v>27</v>
      </c>
      <c r="S94" t="s">
        <v>28</v>
      </c>
      <c r="T94" t="s">
        <v>29</v>
      </c>
      <c r="U94" t="s">
        <v>43</v>
      </c>
    </row>
    <row r="95" spans="1:21" x14ac:dyDescent="0.25">
      <c r="A95">
        <v>94</v>
      </c>
      <c r="B95" t="s">
        <v>235</v>
      </c>
      <c r="C95">
        <v>530182</v>
      </c>
      <c r="D95" t="s">
        <v>32</v>
      </c>
      <c r="E95">
        <v>31</v>
      </c>
      <c r="F95" t="str">
        <f t="shared" si="2"/>
        <v>adult</v>
      </c>
      <c r="G95" t="s">
        <v>19</v>
      </c>
      <c r="H95" t="str">
        <f t="shared" si="3"/>
        <v>Dec</v>
      </c>
      <c r="I95" t="s">
        <v>20</v>
      </c>
      <c r="J95" t="s">
        <v>40</v>
      </c>
      <c r="K95" t="s">
        <v>236</v>
      </c>
      <c r="L95" t="s">
        <v>58</v>
      </c>
      <c r="M95" t="s">
        <v>76</v>
      </c>
      <c r="N95">
        <v>1</v>
      </c>
      <c r="O95" t="s">
        <v>25</v>
      </c>
      <c r="P95">
        <v>680</v>
      </c>
      <c r="Q95" t="s">
        <v>26</v>
      </c>
      <c r="R95" t="s">
        <v>27</v>
      </c>
      <c r="S95" t="s">
        <v>28</v>
      </c>
      <c r="T95" t="s">
        <v>29</v>
      </c>
      <c r="U95" t="s">
        <v>30</v>
      </c>
    </row>
    <row r="96" spans="1:21" x14ac:dyDescent="0.25">
      <c r="A96">
        <v>95</v>
      </c>
      <c r="B96" t="s">
        <v>237</v>
      </c>
      <c r="C96">
        <v>434674</v>
      </c>
      <c r="D96" t="s">
        <v>18</v>
      </c>
      <c r="E96">
        <v>35</v>
      </c>
      <c r="F96" t="str">
        <f t="shared" si="2"/>
        <v>adult</v>
      </c>
      <c r="G96" t="s">
        <v>19</v>
      </c>
      <c r="H96" t="str">
        <f t="shared" si="3"/>
        <v>Dec</v>
      </c>
      <c r="I96" t="s">
        <v>20</v>
      </c>
      <c r="J96" t="s">
        <v>40</v>
      </c>
      <c r="K96" t="s">
        <v>100</v>
      </c>
      <c r="L96" t="s">
        <v>23</v>
      </c>
      <c r="M96" t="s">
        <v>50</v>
      </c>
      <c r="N96">
        <v>1</v>
      </c>
      <c r="O96" t="s">
        <v>25</v>
      </c>
      <c r="P96">
        <v>1563</v>
      </c>
      <c r="Q96" t="s">
        <v>36</v>
      </c>
      <c r="R96" t="s">
        <v>37</v>
      </c>
      <c r="S96" t="s">
        <v>38</v>
      </c>
      <c r="T96" t="s">
        <v>29</v>
      </c>
      <c r="U96" t="s">
        <v>30</v>
      </c>
    </row>
    <row r="97" spans="1:21" x14ac:dyDescent="0.25">
      <c r="A97">
        <v>96</v>
      </c>
      <c r="B97" t="s">
        <v>238</v>
      </c>
      <c r="C97">
        <v>624238</v>
      </c>
      <c r="D97" t="s">
        <v>32</v>
      </c>
      <c r="E97">
        <v>40</v>
      </c>
      <c r="F97" t="str">
        <f t="shared" si="2"/>
        <v>adult</v>
      </c>
      <c r="G97" t="s">
        <v>19</v>
      </c>
      <c r="H97" t="str">
        <f t="shared" si="3"/>
        <v>Dec</v>
      </c>
      <c r="I97" t="s">
        <v>20</v>
      </c>
      <c r="J97" t="s">
        <v>33</v>
      </c>
      <c r="K97" t="s">
        <v>239</v>
      </c>
      <c r="L97" t="s">
        <v>58</v>
      </c>
      <c r="M97" t="s">
        <v>50</v>
      </c>
      <c r="N97">
        <v>1</v>
      </c>
      <c r="O97" t="s">
        <v>25</v>
      </c>
      <c r="P97">
        <v>1848</v>
      </c>
      <c r="Q97" t="s">
        <v>63</v>
      </c>
      <c r="R97" t="s">
        <v>64</v>
      </c>
      <c r="S97" t="s">
        <v>65</v>
      </c>
      <c r="T97" t="s">
        <v>29</v>
      </c>
      <c r="U97" t="s">
        <v>43</v>
      </c>
    </row>
    <row r="98" spans="1:21" x14ac:dyDescent="0.25">
      <c r="A98">
        <v>97</v>
      </c>
      <c r="B98" t="s">
        <v>240</v>
      </c>
      <c r="C98">
        <v>885749</v>
      </c>
      <c r="D98" t="s">
        <v>18</v>
      </c>
      <c r="E98">
        <v>39</v>
      </c>
      <c r="F98" t="str">
        <f t="shared" si="2"/>
        <v>adult</v>
      </c>
      <c r="G98" t="s">
        <v>19</v>
      </c>
      <c r="H98" t="str">
        <f t="shared" si="3"/>
        <v>Dec</v>
      </c>
      <c r="I98" t="s">
        <v>20</v>
      </c>
      <c r="J98" t="s">
        <v>21</v>
      </c>
      <c r="K98" t="s">
        <v>241</v>
      </c>
      <c r="L98" t="s">
        <v>58</v>
      </c>
      <c r="M98" t="s">
        <v>50</v>
      </c>
      <c r="N98">
        <v>1</v>
      </c>
      <c r="O98" t="s">
        <v>25</v>
      </c>
      <c r="P98">
        <v>1965</v>
      </c>
      <c r="Q98" t="s">
        <v>26</v>
      </c>
      <c r="R98" t="s">
        <v>27</v>
      </c>
      <c r="S98" t="s">
        <v>28</v>
      </c>
      <c r="T98" t="s">
        <v>29</v>
      </c>
      <c r="U98" t="s">
        <v>43</v>
      </c>
    </row>
    <row r="99" spans="1:21" x14ac:dyDescent="0.25">
      <c r="A99">
        <v>98</v>
      </c>
      <c r="B99" t="s">
        <v>242</v>
      </c>
      <c r="C99">
        <v>114938</v>
      </c>
      <c r="D99" t="s">
        <v>32</v>
      </c>
      <c r="E99">
        <v>27</v>
      </c>
      <c r="F99" t="str">
        <f t="shared" si="2"/>
        <v>teenager</v>
      </c>
      <c r="G99" t="s">
        <v>19</v>
      </c>
      <c r="H99" t="str">
        <f t="shared" si="3"/>
        <v>Dec</v>
      </c>
      <c r="I99" t="s">
        <v>20</v>
      </c>
      <c r="J99" t="s">
        <v>33</v>
      </c>
      <c r="K99" t="s">
        <v>243</v>
      </c>
      <c r="L99" t="s">
        <v>23</v>
      </c>
      <c r="M99" t="s">
        <v>24</v>
      </c>
      <c r="N99">
        <v>1</v>
      </c>
      <c r="O99" t="s">
        <v>25</v>
      </c>
      <c r="P99">
        <v>1432</v>
      </c>
      <c r="Q99" t="s">
        <v>36</v>
      </c>
      <c r="R99" t="s">
        <v>37</v>
      </c>
      <c r="S99" t="s">
        <v>38</v>
      </c>
      <c r="T99" t="s">
        <v>29</v>
      </c>
      <c r="U99" t="s">
        <v>30</v>
      </c>
    </row>
    <row r="100" spans="1:21" x14ac:dyDescent="0.25">
      <c r="A100">
        <v>99</v>
      </c>
      <c r="B100" t="s">
        <v>244</v>
      </c>
      <c r="C100">
        <v>772612</v>
      </c>
      <c r="D100" t="s">
        <v>18</v>
      </c>
      <c r="E100">
        <v>44</v>
      </c>
      <c r="F100" t="str">
        <f t="shared" si="2"/>
        <v>adult</v>
      </c>
      <c r="G100" t="s">
        <v>19</v>
      </c>
      <c r="H100" t="str">
        <f t="shared" si="3"/>
        <v>Dec</v>
      </c>
      <c r="I100" t="s">
        <v>20</v>
      </c>
      <c r="J100" t="s">
        <v>33</v>
      </c>
      <c r="K100" t="s">
        <v>245</v>
      </c>
      <c r="L100" t="s">
        <v>23</v>
      </c>
      <c r="M100" t="s">
        <v>50</v>
      </c>
      <c r="N100">
        <v>1</v>
      </c>
      <c r="O100" t="s">
        <v>25</v>
      </c>
      <c r="P100">
        <v>1375</v>
      </c>
      <c r="Q100" t="s">
        <v>36</v>
      </c>
      <c r="R100" t="s">
        <v>37</v>
      </c>
      <c r="S100" t="s">
        <v>38</v>
      </c>
      <c r="T100" t="s">
        <v>29</v>
      </c>
      <c r="U100" t="s">
        <v>30</v>
      </c>
    </row>
    <row r="101" spans="1:21" x14ac:dyDescent="0.25">
      <c r="A101">
        <v>100</v>
      </c>
      <c r="B101" t="s">
        <v>246</v>
      </c>
      <c r="C101">
        <v>315603</v>
      </c>
      <c r="D101" t="s">
        <v>32</v>
      </c>
      <c r="E101">
        <v>23</v>
      </c>
      <c r="F101" t="str">
        <f t="shared" si="2"/>
        <v>teenager</v>
      </c>
      <c r="G101" t="s">
        <v>19</v>
      </c>
      <c r="H101" t="str">
        <f t="shared" si="3"/>
        <v>Dec</v>
      </c>
      <c r="I101" t="s">
        <v>20</v>
      </c>
      <c r="J101" t="s">
        <v>40</v>
      </c>
      <c r="K101" t="s">
        <v>247</v>
      </c>
      <c r="L101" t="s">
        <v>58</v>
      </c>
      <c r="M101" t="s">
        <v>50</v>
      </c>
      <c r="N101">
        <v>1</v>
      </c>
      <c r="O101" t="s">
        <v>25</v>
      </c>
      <c r="P101">
        <v>1594</v>
      </c>
      <c r="Q101" t="s">
        <v>63</v>
      </c>
      <c r="R101" t="s">
        <v>64</v>
      </c>
      <c r="S101" t="s">
        <v>65</v>
      </c>
      <c r="T101" t="s">
        <v>29</v>
      </c>
      <c r="U101" t="s">
        <v>30</v>
      </c>
    </row>
    <row r="102" spans="1:21" x14ac:dyDescent="0.25">
      <c r="A102">
        <v>101</v>
      </c>
      <c r="B102" t="s">
        <v>248</v>
      </c>
      <c r="C102">
        <v>932710</v>
      </c>
      <c r="D102" t="s">
        <v>18</v>
      </c>
      <c r="E102">
        <v>63</v>
      </c>
      <c r="F102" t="str">
        <f t="shared" si="2"/>
        <v>senior</v>
      </c>
      <c r="G102" t="s">
        <v>19</v>
      </c>
      <c r="H102" t="str">
        <f t="shared" si="3"/>
        <v>Dec</v>
      </c>
      <c r="I102" t="s">
        <v>20</v>
      </c>
      <c r="J102" t="s">
        <v>21</v>
      </c>
      <c r="K102" t="s">
        <v>249</v>
      </c>
      <c r="L102" t="s">
        <v>58</v>
      </c>
      <c r="M102" t="s">
        <v>50</v>
      </c>
      <c r="N102">
        <v>1</v>
      </c>
      <c r="O102" t="s">
        <v>25</v>
      </c>
      <c r="P102">
        <v>1189</v>
      </c>
      <c r="Q102" t="s">
        <v>63</v>
      </c>
      <c r="R102" t="s">
        <v>64</v>
      </c>
      <c r="S102" t="s">
        <v>65</v>
      </c>
      <c r="T102" t="s">
        <v>29</v>
      </c>
      <c r="U102" t="s">
        <v>43</v>
      </c>
    </row>
    <row r="103" spans="1:21" x14ac:dyDescent="0.25">
      <c r="A103">
        <v>102</v>
      </c>
      <c r="B103" t="s">
        <v>250</v>
      </c>
      <c r="C103">
        <v>395729</v>
      </c>
      <c r="D103" t="s">
        <v>32</v>
      </c>
      <c r="E103">
        <v>58</v>
      </c>
      <c r="F103" t="str">
        <f t="shared" si="2"/>
        <v>senior</v>
      </c>
      <c r="G103" t="s">
        <v>19</v>
      </c>
      <c r="H103" t="str">
        <f t="shared" si="3"/>
        <v>Dec</v>
      </c>
      <c r="I103" t="s">
        <v>20</v>
      </c>
      <c r="J103" t="s">
        <v>45</v>
      </c>
      <c r="K103" t="s">
        <v>251</v>
      </c>
      <c r="L103" t="s">
        <v>58</v>
      </c>
      <c r="M103" t="s">
        <v>24</v>
      </c>
      <c r="N103">
        <v>1</v>
      </c>
      <c r="O103" t="s">
        <v>25</v>
      </c>
      <c r="P103">
        <v>876</v>
      </c>
      <c r="Q103" t="s">
        <v>53</v>
      </c>
      <c r="R103" t="s">
        <v>54</v>
      </c>
      <c r="S103" t="s">
        <v>55</v>
      </c>
      <c r="T103" t="s">
        <v>29</v>
      </c>
      <c r="U103" t="s">
        <v>30</v>
      </c>
    </row>
    <row r="104" spans="1:21" x14ac:dyDescent="0.25">
      <c r="A104">
        <v>103</v>
      </c>
      <c r="B104" t="s">
        <v>252</v>
      </c>
      <c r="C104">
        <v>439836</v>
      </c>
      <c r="D104" t="s">
        <v>18</v>
      </c>
      <c r="E104">
        <v>63</v>
      </c>
      <c r="F104" t="str">
        <f t="shared" si="2"/>
        <v>senior</v>
      </c>
      <c r="G104" t="s">
        <v>19</v>
      </c>
      <c r="H104" t="str">
        <f t="shared" si="3"/>
        <v>Dec</v>
      </c>
      <c r="I104" t="s">
        <v>20</v>
      </c>
      <c r="J104" t="s">
        <v>40</v>
      </c>
      <c r="K104" t="s">
        <v>253</v>
      </c>
      <c r="L104" t="s">
        <v>42</v>
      </c>
      <c r="M104" t="s">
        <v>50</v>
      </c>
      <c r="N104">
        <v>1</v>
      </c>
      <c r="O104" t="s">
        <v>25</v>
      </c>
      <c r="P104">
        <v>1127</v>
      </c>
      <c r="Q104" t="s">
        <v>53</v>
      </c>
      <c r="R104" t="s">
        <v>54</v>
      </c>
      <c r="S104" t="s">
        <v>55</v>
      </c>
      <c r="T104" t="s">
        <v>29</v>
      </c>
      <c r="U104" t="s">
        <v>30</v>
      </c>
    </row>
    <row r="105" spans="1:21" x14ac:dyDescent="0.25">
      <c r="A105">
        <v>104</v>
      </c>
      <c r="B105" t="s">
        <v>254</v>
      </c>
      <c r="C105">
        <v>919478</v>
      </c>
      <c r="D105" t="s">
        <v>32</v>
      </c>
      <c r="E105">
        <v>42</v>
      </c>
      <c r="F105" t="str">
        <f t="shared" si="2"/>
        <v>adult</v>
      </c>
      <c r="G105" t="s">
        <v>19</v>
      </c>
      <c r="H105" t="str">
        <f t="shared" si="3"/>
        <v>Dec</v>
      </c>
      <c r="I105" t="s">
        <v>20</v>
      </c>
      <c r="J105" t="s">
        <v>45</v>
      </c>
      <c r="K105" t="s">
        <v>255</v>
      </c>
      <c r="L105" t="s">
        <v>58</v>
      </c>
      <c r="M105" t="s">
        <v>35</v>
      </c>
      <c r="N105">
        <v>1</v>
      </c>
      <c r="O105" t="s">
        <v>25</v>
      </c>
      <c r="P105">
        <v>898</v>
      </c>
      <c r="Q105" t="s">
        <v>53</v>
      </c>
      <c r="R105" t="s">
        <v>54</v>
      </c>
      <c r="S105" t="s">
        <v>55</v>
      </c>
      <c r="T105" t="s">
        <v>29</v>
      </c>
      <c r="U105" t="s">
        <v>43</v>
      </c>
    </row>
    <row r="106" spans="1:21" x14ac:dyDescent="0.25">
      <c r="A106">
        <v>105</v>
      </c>
      <c r="B106" t="s">
        <v>256</v>
      </c>
      <c r="C106">
        <v>312707</v>
      </c>
      <c r="D106" t="s">
        <v>18</v>
      </c>
      <c r="E106">
        <v>39</v>
      </c>
      <c r="F106" t="str">
        <f t="shared" si="2"/>
        <v>adult</v>
      </c>
      <c r="G106" t="s">
        <v>19</v>
      </c>
      <c r="H106" t="str">
        <f t="shared" si="3"/>
        <v>Dec</v>
      </c>
      <c r="I106" t="s">
        <v>20</v>
      </c>
      <c r="J106" t="s">
        <v>33</v>
      </c>
      <c r="K106" t="s">
        <v>257</v>
      </c>
      <c r="L106" t="s">
        <v>23</v>
      </c>
      <c r="M106" t="s">
        <v>50</v>
      </c>
      <c r="N106">
        <v>1</v>
      </c>
      <c r="O106" t="s">
        <v>25</v>
      </c>
      <c r="P106">
        <v>322</v>
      </c>
      <c r="Q106" t="s">
        <v>36</v>
      </c>
      <c r="R106" t="s">
        <v>37</v>
      </c>
      <c r="S106" t="s">
        <v>38</v>
      </c>
      <c r="T106" t="s">
        <v>29</v>
      </c>
      <c r="U106" t="s">
        <v>43</v>
      </c>
    </row>
    <row r="107" spans="1:21" x14ac:dyDescent="0.25">
      <c r="A107">
        <v>106</v>
      </c>
      <c r="B107" t="s">
        <v>258</v>
      </c>
      <c r="C107">
        <v>729447</v>
      </c>
      <c r="D107" t="s">
        <v>32</v>
      </c>
      <c r="E107">
        <v>47</v>
      </c>
      <c r="F107" t="str">
        <f t="shared" si="2"/>
        <v>adult</v>
      </c>
      <c r="G107" t="s">
        <v>19</v>
      </c>
      <c r="H107" t="str">
        <f t="shared" si="3"/>
        <v>Dec</v>
      </c>
      <c r="I107" t="s">
        <v>20</v>
      </c>
      <c r="J107" t="s">
        <v>21</v>
      </c>
      <c r="K107" t="s">
        <v>259</v>
      </c>
      <c r="L107" t="s">
        <v>23</v>
      </c>
      <c r="M107" t="s">
        <v>47</v>
      </c>
      <c r="N107">
        <v>1</v>
      </c>
      <c r="O107" t="s">
        <v>25</v>
      </c>
      <c r="P107">
        <v>1893</v>
      </c>
      <c r="Q107" t="s">
        <v>63</v>
      </c>
      <c r="R107" t="s">
        <v>64</v>
      </c>
      <c r="S107" t="s">
        <v>65</v>
      </c>
      <c r="T107" t="s">
        <v>29</v>
      </c>
      <c r="U107" t="s">
        <v>43</v>
      </c>
    </row>
    <row r="108" spans="1:21" x14ac:dyDescent="0.25">
      <c r="A108">
        <v>107</v>
      </c>
      <c r="B108" t="s">
        <v>260</v>
      </c>
      <c r="C108">
        <v>647246</v>
      </c>
      <c r="D108" t="s">
        <v>18</v>
      </c>
      <c r="E108">
        <v>30</v>
      </c>
      <c r="F108" t="str">
        <f t="shared" si="2"/>
        <v>adult</v>
      </c>
      <c r="G108" t="s">
        <v>19</v>
      </c>
      <c r="H108" t="str">
        <f t="shared" si="3"/>
        <v>Dec</v>
      </c>
      <c r="I108" t="s">
        <v>20</v>
      </c>
      <c r="J108" t="s">
        <v>33</v>
      </c>
      <c r="K108" t="s">
        <v>261</v>
      </c>
      <c r="L108" t="s">
        <v>58</v>
      </c>
      <c r="M108" t="s">
        <v>35</v>
      </c>
      <c r="N108">
        <v>1</v>
      </c>
      <c r="O108" t="s">
        <v>25</v>
      </c>
      <c r="P108">
        <v>1015</v>
      </c>
      <c r="Q108" t="s">
        <v>36</v>
      </c>
      <c r="R108" t="s">
        <v>37</v>
      </c>
      <c r="S108" t="s">
        <v>38</v>
      </c>
      <c r="T108" t="s">
        <v>29</v>
      </c>
      <c r="U108" t="s">
        <v>30</v>
      </c>
    </row>
    <row r="109" spans="1:21" x14ac:dyDescent="0.25">
      <c r="A109">
        <v>108</v>
      </c>
      <c r="B109" t="s">
        <v>262</v>
      </c>
      <c r="C109">
        <v>673168</v>
      </c>
      <c r="D109" t="s">
        <v>32</v>
      </c>
      <c r="E109">
        <v>56</v>
      </c>
      <c r="F109" t="str">
        <f t="shared" si="2"/>
        <v>senior</v>
      </c>
      <c r="G109" t="s">
        <v>19</v>
      </c>
      <c r="H109" t="str">
        <f t="shared" si="3"/>
        <v>Dec</v>
      </c>
      <c r="I109" t="s">
        <v>20</v>
      </c>
      <c r="J109" t="s">
        <v>40</v>
      </c>
      <c r="K109" t="s">
        <v>263</v>
      </c>
      <c r="L109" t="s">
        <v>58</v>
      </c>
      <c r="M109" t="s">
        <v>47</v>
      </c>
      <c r="N109">
        <v>1</v>
      </c>
      <c r="O109" t="s">
        <v>25</v>
      </c>
      <c r="P109">
        <v>930</v>
      </c>
      <c r="Q109" t="s">
        <v>63</v>
      </c>
      <c r="R109" t="s">
        <v>64</v>
      </c>
      <c r="S109" t="s">
        <v>65</v>
      </c>
      <c r="T109" t="s">
        <v>29</v>
      </c>
      <c r="U109" t="s">
        <v>43</v>
      </c>
    </row>
    <row r="110" spans="1:21" x14ac:dyDescent="0.25">
      <c r="A110">
        <v>109</v>
      </c>
      <c r="B110" t="s">
        <v>264</v>
      </c>
      <c r="C110">
        <v>909465</v>
      </c>
      <c r="D110" t="s">
        <v>18</v>
      </c>
      <c r="E110">
        <v>44</v>
      </c>
      <c r="F110" t="str">
        <f t="shared" si="2"/>
        <v>adult</v>
      </c>
      <c r="G110" t="s">
        <v>19</v>
      </c>
      <c r="H110" t="str">
        <f t="shared" si="3"/>
        <v>Dec</v>
      </c>
      <c r="I110" t="s">
        <v>20</v>
      </c>
      <c r="J110" t="s">
        <v>21</v>
      </c>
      <c r="K110" t="s">
        <v>265</v>
      </c>
      <c r="L110" t="s">
        <v>23</v>
      </c>
      <c r="M110" t="s">
        <v>47</v>
      </c>
      <c r="N110">
        <v>1</v>
      </c>
      <c r="O110" t="s">
        <v>25</v>
      </c>
      <c r="P110">
        <v>1476</v>
      </c>
      <c r="Q110" t="s">
        <v>36</v>
      </c>
      <c r="R110" t="s">
        <v>37</v>
      </c>
      <c r="S110" t="s">
        <v>38</v>
      </c>
      <c r="T110" t="s">
        <v>29</v>
      </c>
      <c r="U110" t="s">
        <v>43</v>
      </c>
    </row>
    <row r="111" spans="1:21" x14ac:dyDescent="0.25">
      <c r="A111">
        <v>110</v>
      </c>
      <c r="B111" t="s">
        <v>266</v>
      </c>
      <c r="C111">
        <v>101734</v>
      </c>
      <c r="D111" t="s">
        <v>32</v>
      </c>
      <c r="E111">
        <v>52</v>
      </c>
      <c r="F111" t="str">
        <f t="shared" si="2"/>
        <v>senior</v>
      </c>
      <c r="G111" t="s">
        <v>19</v>
      </c>
      <c r="H111" t="str">
        <f t="shared" si="3"/>
        <v>Dec</v>
      </c>
      <c r="I111" t="s">
        <v>20</v>
      </c>
      <c r="J111" t="s">
        <v>45</v>
      </c>
      <c r="K111" t="s">
        <v>267</v>
      </c>
      <c r="L111" t="s">
        <v>42</v>
      </c>
      <c r="M111" t="s">
        <v>35</v>
      </c>
      <c r="N111">
        <v>1</v>
      </c>
      <c r="O111" t="s">
        <v>25</v>
      </c>
      <c r="P111">
        <v>1939</v>
      </c>
      <c r="Q111" t="s">
        <v>26</v>
      </c>
      <c r="R111" t="s">
        <v>27</v>
      </c>
      <c r="S111" t="s">
        <v>28</v>
      </c>
      <c r="T111" t="s">
        <v>29</v>
      </c>
      <c r="U111" t="s">
        <v>30</v>
      </c>
    </row>
    <row r="112" spans="1:21" x14ac:dyDescent="0.25">
      <c r="A112">
        <v>111</v>
      </c>
      <c r="B112" t="s">
        <v>268</v>
      </c>
      <c r="C112">
        <v>362015</v>
      </c>
      <c r="D112" t="s">
        <v>18</v>
      </c>
      <c r="E112">
        <v>52</v>
      </c>
      <c r="F112" t="str">
        <f t="shared" si="2"/>
        <v>senior</v>
      </c>
      <c r="G112" t="s">
        <v>19</v>
      </c>
      <c r="H112" t="str">
        <f t="shared" si="3"/>
        <v>Dec</v>
      </c>
      <c r="I112" t="s">
        <v>20</v>
      </c>
      <c r="J112" t="s">
        <v>45</v>
      </c>
      <c r="K112" t="s">
        <v>269</v>
      </c>
      <c r="L112" t="s">
        <v>58</v>
      </c>
      <c r="M112" t="s">
        <v>35</v>
      </c>
      <c r="N112">
        <v>1</v>
      </c>
      <c r="O112" t="s">
        <v>25</v>
      </c>
      <c r="P112">
        <v>1751</v>
      </c>
      <c r="Q112" t="s">
        <v>63</v>
      </c>
      <c r="R112" t="s">
        <v>64</v>
      </c>
      <c r="S112" t="s">
        <v>65</v>
      </c>
      <c r="T112" t="s">
        <v>29</v>
      </c>
      <c r="U112" t="s">
        <v>43</v>
      </c>
    </row>
    <row r="113" spans="1:21" x14ac:dyDescent="0.25">
      <c r="A113">
        <v>112</v>
      </c>
      <c r="B113" t="s">
        <v>270</v>
      </c>
      <c r="C113">
        <v>578441</v>
      </c>
      <c r="D113" t="s">
        <v>32</v>
      </c>
      <c r="E113">
        <v>46</v>
      </c>
      <c r="F113" t="str">
        <f t="shared" si="2"/>
        <v>adult</v>
      </c>
      <c r="G113" t="s">
        <v>19</v>
      </c>
      <c r="H113" t="str">
        <f t="shared" si="3"/>
        <v>Dec</v>
      </c>
      <c r="I113" t="s">
        <v>20</v>
      </c>
      <c r="J113" t="s">
        <v>45</v>
      </c>
      <c r="K113" t="s">
        <v>271</v>
      </c>
      <c r="L113" t="s">
        <v>42</v>
      </c>
      <c r="M113" t="s">
        <v>35</v>
      </c>
      <c r="N113">
        <v>1</v>
      </c>
      <c r="O113" t="s">
        <v>25</v>
      </c>
      <c r="P113">
        <v>1780</v>
      </c>
      <c r="Q113" t="s">
        <v>63</v>
      </c>
      <c r="R113" t="s">
        <v>64</v>
      </c>
      <c r="S113" t="s">
        <v>65</v>
      </c>
      <c r="T113" t="s">
        <v>29</v>
      </c>
      <c r="U113" t="s">
        <v>43</v>
      </c>
    </row>
    <row r="114" spans="1:21" x14ac:dyDescent="0.25">
      <c r="A114">
        <v>113</v>
      </c>
      <c r="B114" t="s">
        <v>272</v>
      </c>
      <c r="C114">
        <v>559378</v>
      </c>
      <c r="D114" t="s">
        <v>18</v>
      </c>
      <c r="E114">
        <v>20</v>
      </c>
      <c r="F114" t="str">
        <f t="shared" si="2"/>
        <v>teenager</v>
      </c>
      <c r="G114" t="s">
        <v>19</v>
      </c>
      <c r="H114" t="str">
        <f t="shared" si="3"/>
        <v>Dec</v>
      </c>
      <c r="I114" t="s">
        <v>20</v>
      </c>
      <c r="J114" t="s">
        <v>21</v>
      </c>
      <c r="K114" t="s">
        <v>273</v>
      </c>
      <c r="L114" t="s">
        <v>58</v>
      </c>
      <c r="M114" t="s">
        <v>24</v>
      </c>
      <c r="N114">
        <v>1</v>
      </c>
      <c r="O114" t="s">
        <v>25</v>
      </c>
      <c r="P114">
        <v>1333</v>
      </c>
      <c r="Q114" t="s">
        <v>63</v>
      </c>
      <c r="R114" t="s">
        <v>64</v>
      </c>
      <c r="S114" t="s">
        <v>65</v>
      </c>
      <c r="T114" t="s">
        <v>29</v>
      </c>
      <c r="U114" t="s">
        <v>30</v>
      </c>
    </row>
    <row r="115" spans="1:21" x14ac:dyDescent="0.25">
      <c r="A115">
        <v>114</v>
      </c>
      <c r="B115" t="s">
        <v>274</v>
      </c>
      <c r="C115">
        <v>573393</v>
      </c>
      <c r="D115" t="s">
        <v>32</v>
      </c>
      <c r="E115">
        <v>44</v>
      </c>
      <c r="F115" t="str">
        <f t="shared" si="2"/>
        <v>adult</v>
      </c>
      <c r="G115" t="s">
        <v>19</v>
      </c>
      <c r="H115" t="str">
        <f t="shared" si="3"/>
        <v>Dec</v>
      </c>
      <c r="I115" t="s">
        <v>20</v>
      </c>
      <c r="J115" t="s">
        <v>45</v>
      </c>
      <c r="K115" t="s">
        <v>275</v>
      </c>
      <c r="L115" t="s">
        <v>42</v>
      </c>
      <c r="M115" t="s">
        <v>35</v>
      </c>
      <c r="N115">
        <v>1</v>
      </c>
      <c r="O115" t="s">
        <v>25</v>
      </c>
      <c r="P115">
        <v>1841</v>
      </c>
      <c r="Q115" t="s">
        <v>26</v>
      </c>
      <c r="R115" t="s">
        <v>27</v>
      </c>
      <c r="S115" t="s">
        <v>28</v>
      </c>
      <c r="T115" t="s">
        <v>29</v>
      </c>
      <c r="U115" t="s">
        <v>30</v>
      </c>
    </row>
    <row r="116" spans="1:21" x14ac:dyDescent="0.25">
      <c r="A116">
        <v>115</v>
      </c>
      <c r="B116" t="s">
        <v>276</v>
      </c>
      <c r="C116">
        <v>792154</v>
      </c>
      <c r="D116" t="s">
        <v>18</v>
      </c>
      <c r="E116">
        <v>50</v>
      </c>
      <c r="F116" t="str">
        <f t="shared" si="2"/>
        <v>senior</v>
      </c>
      <c r="G116" t="s">
        <v>19</v>
      </c>
      <c r="H116" t="str">
        <f t="shared" si="3"/>
        <v>Dec</v>
      </c>
      <c r="I116" t="s">
        <v>20</v>
      </c>
      <c r="J116" t="s">
        <v>33</v>
      </c>
      <c r="K116" t="s">
        <v>277</v>
      </c>
      <c r="L116" t="s">
        <v>23</v>
      </c>
      <c r="M116" t="s">
        <v>47</v>
      </c>
      <c r="N116">
        <v>1</v>
      </c>
      <c r="O116" t="s">
        <v>25</v>
      </c>
      <c r="P116">
        <v>478</v>
      </c>
      <c r="Q116" t="s">
        <v>53</v>
      </c>
      <c r="R116" t="s">
        <v>54</v>
      </c>
      <c r="S116" t="s">
        <v>55</v>
      </c>
      <c r="T116" t="s">
        <v>29</v>
      </c>
      <c r="U116" t="s">
        <v>30</v>
      </c>
    </row>
    <row r="117" spans="1:21" x14ac:dyDescent="0.25">
      <c r="A117">
        <v>116</v>
      </c>
      <c r="B117" t="s">
        <v>278</v>
      </c>
      <c r="C117">
        <v>902536</v>
      </c>
      <c r="D117" t="s">
        <v>32</v>
      </c>
      <c r="E117">
        <v>68</v>
      </c>
      <c r="F117" t="str">
        <f t="shared" si="2"/>
        <v>senior</v>
      </c>
      <c r="G117" t="s">
        <v>19</v>
      </c>
      <c r="H117" t="str">
        <f t="shared" si="3"/>
        <v>Dec</v>
      </c>
      <c r="I117" t="s">
        <v>20</v>
      </c>
      <c r="J117" t="s">
        <v>40</v>
      </c>
      <c r="K117" t="s">
        <v>202</v>
      </c>
      <c r="L117" t="s">
        <v>58</v>
      </c>
      <c r="M117" t="s">
        <v>76</v>
      </c>
      <c r="N117">
        <v>1</v>
      </c>
      <c r="O117" t="s">
        <v>25</v>
      </c>
      <c r="P117">
        <v>789</v>
      </c>
      <c r="Q117" t="s">
        <v>63</v>
      </c>
      <c r="R117" t="s">
        <v>64</v>
      </c>
      <c r="S117" t="s">
        <v>65</v>
      </c>
      <c r="T117" t="s">
        <v>29</v>
      </c>
      <c r="U117" t="s">
        <v>43</v>
      </c>
    </row>
    <row r="118" spans="1:21" x14ac:dyDescent="0.25">
      <c r="A118">
        <v>117</v>
      </c>
      <c r="B118" t="s">
        <v>279</v>
      </c>
      <c r="C118">
        <v>826644</v>
      </c>
      <c r="D118" t="s">
        <v>18</v>
      </c>
      <c r="E118">
        <v>63</v>
      </c>
      <c r="F118" t="str">
        <f t="shared" si="2"/>
        <v>senior</v>
      </c>
      <c r="G118" t="s">
        <v>19</v>
      </c>
      <c r="H118" t="str">
        <f t="shared" si="3"/>
        <v>Dec</v>
      </c>
      <c r="I118" t="s">
        <v>20</v>
      </c>
      <c r="J118" t="s">
        <v>45</v>
      </c>
      <c r="K118" t="s">
        <v>280</v>
      </c>
      <c r="L118" t="s">
        <v>42</v>
      </c>
      <c r="M118" t="s">
        <v>50</v>
      </c>
      <c r="N118">
        <v>1</v>
      </c>
      <c r="O118" t="s">
        <v>25</v>
      </c>
      <c r="P118">
        <v>1740</v>
      </c>
      <c r="Q118" t="s">
        <v>26</v>
      </c>
      <c r="R118" t="s">
        <v>27</v>
      </c>
      <c r="S118" t="s">
        <v>28</v>
      </c>
      <c r="T118" t="s">
        <v>29</v>
      </c>
      <c r="U118" t="s">
        <v>43</v>
      </c>
    </row>
    <row r="119" spans="1:21" x14ac:dyDescent="0.25">
      <c r="A119">
        <v>118</v>
      </c>
      <c r="B119" t="s">
        <v>281</v>
      </c>
      <c r="C119">
        <v>520447</v>
      </c>
      <c r="D119" t="s">
        <v>32</v>
      </c>
      <c r="E119">
        <v>22</v>
      </c>
      <c r="F119" t="str">
        <f t="shared" si="2"/>
        <v>teenager</v>
      </c>
      <c r="G119" t="s">
        <v>19</v>
      </c>
      <c r="H119" t="str">
        <f t="shared" si="3"/>
        <v>Dec</v>
      </c>
      <c r="I119" t="s">
        <v>20</v>
      </c>
      <c r="J119" t="s">
        <v>33</v>
      </c>
      <c r="K119" t="s">
        <v>282</v>
      </c>
      <c r="L119" t="s">
        <v>42</v>
      </c>
      <c r="M119" t="s">
        <v>47</v>
      </c>
      <c r="N119">
        <v>1</v>
      </c>
      <c r="O119" t="s">
        <v>25</v>
      </c>
      <c r="P119">
        <v>1569</v>
      </c>
      <c r="Q119" t="s">
        <v>63</v>
      </c>
      <c r="R119" t="s">
        <v>64</v>
      </c>
      <c r="S119" t="s">
        <v>65</v>
      </c>
      <c r="T119" t="s">
        <v>29</v>
      </c>
      <c r="U119" t="s">
        <v>30</v>
      </c>
    </row>
    <row r="120" spans="1:21" x14ac:dyDescent="0.25">
      <c r="A120">
        <v>119</v>
      </c>
      <c r="B120" t="s">
        <v>283</v>
      </c>
      <c r="C120">
        <v>162429</v>
      </c>
      <c r="D120" t="s">
        <v>18</v>
      </c>
      <c r="E120">
        <v>40</v>
      </c>
      <c r="F120" t="str">
        <f t="shared" si="2"/>
        <v>adult</v>
      </c>
      <c r="G120" t="s">
        <v>19</v>
      </c>
      <c r="H120" t="str">
        <f t="shared" si="3"/>
        <v>Dec</v>
      </c>
      <c r="I120" t="s">
        <v>20</v>
      </c>
      <c r="J120" t="s">
        <v>40</v>
      </c>
      <c r="K120" t="s">
        <v>284</v>
      </c>
      <c r="L120" t="s">
        <v>23</v>
      </c>
      <c r="M120" t="s">
        <v>50</v>
      </c>
      <c r="N120">
        <v>1</v>
      </c>
      <c r="O120" t="s">
        <v>25</v>
      </c>
      <c r="P120">
        <v>1532</v>
      </c>
      <c r="Q120" t="s">
        <v>36</v>
      </c>
      <c r="R120" t="s">
        <v>37</v>
      </c>
      <c r="S120" t="s">
        <v>38</v>
      </c>
      <c r="T120" t="s">
        <v>29</v>
      </c>
      <c r="U120" t="s">
        <v>43</v>
      </c>
    </row>
    <row r="121" spans="1:21" x14ac:dyDescent="0.25">
      <c r="A121">
        <v>120</v>
      </c>
      <c r="B121" t="s">
        <v>285</v>
      </c>
      <c r="C121">
        <v>998342</v>
      </c>
      <c r="D121" t="s">
        <v>32</v>
      </c>
      <c r="E121">
        <v>35</v>
      </c>
      <c r="F121" t="str">
        <f t="shared" si="2"/>
        <v>adult</v>
      </c>
      <c r="G121" t="s">
        <v>19</v>
      </c>
      <c r="H121" t="str">
        <f t="shared" si="3"/>
        <v>Dec</v>
      </c>
      <c r="I121" t="s">
        <v>20</v>
      </c>
      <c r="J121" t="s">
        <v>40</v>
      </c>
      <c r="K121" t="s">
        <v>168</v>
      </c>
      <c r="L121" t="s">
        <v>42</v>
      </c>
      <c r="M121" t="s">
        <v>76</v>
      </c>
      <c r="N121">
        <v>1</v>
      </c>
      <c r="O121" t="s">
        <v>25</v>
      </c>
      <c r="P121">
        <v>489</v>
      </c>
      <c r="Q121" t="s">
        <v>63</v>
      </c>
      <c r="R121" t="s">
        <v>64</v>
      </c>
      <c r="S121" t="s">
        <v>65</v>
      </c>
      <c r="T121" t="s">
        <v>29</v>
      </c>
      <c r="U121" t="s">
        <v>30</v>
      </c>
    </row>
    <row r="122" spans="1:21" x14ac:dyDescent="0.25">
      <c r="A122">
        <v>121</v>
      </c>
      <c r="B122" t="s">
        <v>286</v>
      </c>
      <c r="C122">
        <v>228566</v>
      </c>
      <c r="D122" t="s">
        <v>18</v>
      </c>
      <c r="E122">
        <v>18</v>
      </c>
      <c r="F122" t="str">
        <f t="shared" si="2"/>
        <v>teenager</v>
      </c>
      <c r="G122" t="s">
        <v>19</v>
      </c>
      <c r="H122" t="str">
        <f t="shared" si="3"/>
        <v>Dec</v>
      </c>
      <c r="I122" t="s">
        <v>20</v>
      </c>
      <c r="J122" t="s">
        <v>33</v>
      </c>
      <c r="K122" t="s">
        <v>287</v>
      </c>
      <c r="L122" t="s">
        <v>23</v>
      </c>
      <c r="M122" t="s">
        <v>76</v>
      </c>
      <c r="N122">
        <v>1</v>
      </c>
      <c r="O122" t="s">
        <v>25</v>
      </c>
      <c r="P122">
        <v>1406</v>
      </c>
      <c r="Q122" t="s">
        <v>63</v>
      </c>
      <c r="R122" t="s">
        <v>64</v>
      </c>
      <c r="S122" t="s">
        <v>65</v>
      </c>
      <c r="T122" t="s">
        <v>29</v>
      </c>
      <c r="U122" t="s">
        <v>30</v>
      </c>
    </row>
    <row r="123" spans="1:21" x14ac:dyDescent="0.25">
      <c r="A123">
        <v>122</v>
      </c>
      <c r="B123" t="s">
        <v>288</v>
      </c>
      <c r="C123">
        <v>353466</v>
      </c>
      <c r="D123" t="s">
        <v>32</v>
      </c>
      <c r="E123">
        <v>44</v>
      </c>
      <c r="F123" t="str">
        <f t="shared" si="2"/>
        <v>adult</v>
      </c>
      <c r="G123" t="s">
        <v>19</v>
      </c>
      <c r="H123" t="str">
        <f t="shared" si="3"/>
        <v>Dec</v>
      </c>
      <c r="I123" t="s">
        <v>20</v>
      </c>
      <c r="J123" t="s">
        <v>33</v>
      </c>
      <c r="K123" t="s">
        <v>289</v>
      </c>
      <c r="L123" t="s">
        <v>58</v>
      </c>
      <c r="M123" t="s">
        <v>50</v>
      </c>
      <c r="N123">
        <v>1</v>
      </c>
      <c r="O123" t="s">
        <v>25</v>
      </c>
      <c r="P123">
        <v>1908</v>
      </c>
      <c r="Q123" t="s">
        <v>26</v>
      </c>
      <c r="R123" t="s">
        <v>27</v>
      </c>
      <c r="S123" t="s">
        <v>28</v>
      </c>
      <c r="T123" t="s">
        <v>29</v>
      </c>
      <c r="U123" t="s">
        <v>30</v>
      </c>
    </row>
    <row r="124" spans="1:21" x14ac:dyDescent="0.25">
      <c r="A124">
        <v>123</v>
      </c>
      <c r="B124" t="s">
        <v>290</v>
      </c>
      <c r="C124">
        <v>434503</v>
      </c>
      <c r="D124" t="s">
        <v>18</v>
      </c>
      <c r="E124">
        <v>25</v>
      </c>
      <c r="F124" t="str">
        <f t="shared" si="2"/>
        <v>teenager</v>
      </c>
      <c r="G124" t="s">
        <v>19</v>
      </c>
      <c r="H124" t="str">
        <f t="shared" si="3"/>
        <v>Dec</v>
      </c>
      <c r="I124" t="s">
        <v>20</v>
      </c>
      <c r="J124" t="s">
        <v>21</v>
      </c>
      <c r="K124" t="s">
        <v>291</v>
      </c>
      <c r="L124" t="s">
        <v>42</v>
      </c>
      <c r="M124" t="s">
        <v>76</v>
      </c>
      <c r="N124">
        <v>1</v>
      </c>
      <c r="O124" t="s">
        <v>25</v>
      </c>
      <c r="P124">
        <v>896</v>
      </c>
      <c r="Q124" t="s">
        <v>53</v>
      </c>
      <c r="R124" t="s">
        <v>54</v>
      </c>
      <c r="S124" t="s">
        <v>55</v>
      </c>
      <c r="T124" t="s">
        <v>29</v>
      </c>
      <c r="U124" t="s">
        <v>30</v>
      </c>
    </row>
    <row r="125" spans="1:21" x14ac:dyDescent="0.25">
      <c r="A125">
        <v>124</v>
      </c>
      <c r="B125" t="s">
        <v>292</v>
      </c>
      <c r="C125">
        <v>169243</v>
      </c>
      <c r="D125" t="s">
        <v>32</v>
      </c>
      <c r="E125">
        <v>25</v>
      </c>
      <c r="F125" t="str">
        <f t="shared" si="2"/>
        <v>teenager</v>
      </c>
      <c r="G125" t="s">
        <v>19</v>
      </c>
      <c r="H125" t="str">
        <f t="shared" si="3"/>
        <v>Dec</v>
      </c>
      <c r="I125" t="s">
        <v>20</v>
      </c>
      <c r="J125" t="s">
        <v>45</v>
      </c>
      <c r="K125" t="s">
        <v>293</v>
      </c>
      <c r="L125" t="s">
        <v>23</v>
      </c>
      <c r="M125" t="s">
        <v>47</v>
      </c>
      <c r="N125">
        <v>1</v>
      </c>
      <c r="O125" t="s">
        <v>25</v>
      </c>
      <c r="P125">
        <v>1302</v>
      </c>
      <c r="Q125" t="s">
        <v>36</v>
      </c>
      <c r="R125" t="s">
        <v>37</v>
      </c>
      <c r="S125" t="s">
        <v>38</v>
      </c>
      <c r="T125" t="s">
        <v>29</v>
      </c>
      <c r="U125" t="s">
        <v>30</v>
      </c>
    </row>
    <row r="126" spans="1:21" x14ac:dyDescent="0.25">
      <c r="A126">
        <v>125</v>
      </c>
      <c r="B126" t="s">
        <v>294</v>
      </c>
      <c r="C126">
        <v>300520</v>
      </c>
      <c r="D126" t="s">
        <v>18</v>
      </c>
      <c r="E126">
        <v>22</v>
      </c>
      <c r="F126" t="str">
        <f t="shared" si="2"/>
        <v>teenager</v>
      </c>
      <c r="G126" t="s">
        <v>19</v>
      </c>
      <c r="H126" t="str">
        <f t="shared" si="3"/>
        <v>Dec</v>
      </c>
      <c r="I126" t="s">
        <v>20</v>
      </c>
      <c r="J126" t="s">
        <v>45</v>
      </c>
      <c r="K126" t="s">
        <v>295</v>
      </c>
      <c r="L126" t="s">
        <v>58</v>
      </c>
      <c r="M126" t="s">
        <v>47</v>
      </c>
      <c r="N126">
        <v>1</v>
      </c>
      <c r="O126" t="s">
        <v>25</v>
      </c>
      <c r="P126">
        <v>819</v>
      </c>
      <c r="Q126" t="s">
        <v>26</v>
      </c>
      <c r="R126" t="s">
        <v>27</v>
      </c>
      <c r="S126" t="s">
        <v>28</v>
      </c>
      <c r="T126" t="s">
        <v>29</v>
      </c>
      <c r="U126" t="s">
        <v>43</v>
      </c>
    </row>
    <row r="127" spans="1:21" x14ac:dyDescent="0.25">
      <c r="A127">
        <v>126</v>
      </c>
      <c r="B127" t="s">
        <v>296</v>
      </c>
      <c r="C127">
        <v>929712</v>
      </c>
      <c r="D127" t="s">
        <v>32</v>
      </c>
      <c r="E127">
        <v>49</v>
      </c>
      <c r="F127" t="str">
        <f t="shared" si="2"/>
        <v>adult</v>
      </c>
      <c r="G127" t="s">
        <v>19</v>
      </c>
      <c r="H127" t="str">
        <f t="shared" si="3"/>
        <v>Dec</v>
      </c>
      <c r="I127" t="s">
        <v>20</v>
      </c>
      <c r="J127" t="s">
        <v>40</v>
      </c>
      <c r="K127" t="s">
        <v>297</v>
      </c>
      <c r="L127" t="s">
        <v>23</v>
      </c>
      <c r="M127" t="s">
        <v>35</v>
      </c>
      <c r="N127">
        <v>1</v>
      </c>
      <c r="O127" t="s">
        <v>25</v>
      </c>
      <c r="P127">
        <v>997</v>
      </c>
      <c r="Q127" t="s">
        <v>26</v>
      </c>
      <c r="R127" t="s">
        <v>27</v>
      </c>
      <c r="S127" t="s">
        <v>28</v>
      </c>
      <c r="T127" t="s">
        <v>29</v>
      </c>
      <c r="U127" t="s">
        <v>30</v>
      </c>
    </row>
    <row r="128" spans="1:21" x14ac:dyDescent="0.25">
      <c r="A128">
        <v>127</v>
      </c>
      <c r="B128" t="s">
        <v>298</v>
      </c>
      <c r="C128">
        <v>955502</v>
      </c>
      <c r="D128" t="s">
        <v>18</v>
      </c>
      <c r="E128">
        <v>54</v>
      </c>
      <c r="F128" t="str">
        <f t="shared" si="2"/>
        <v>senior</v>
      </c>
      <c r="G128" t="s">
        <v>19</v>
      </c>
      <c r="H128" t="str">
        <f t="shared" si="3"/>
        <v>Dec</v>
      </c>
      <c r="I128" t="s">
        <v>20</v>
      </c>
      <c r="J128" t="s">
        <v>45</v>
      </c>
      <c r="K128" t="s">
        <v>299</v>
      </c>
      <c r="L128" t="s">
        <v>23</v>
      </c>
      <c r="M128" t="s">
        <v>35</v>
      </c>
      <c r="N128">
        <v>1</v>
      </c>
      <c r="O128" t="s">
        <v>25</v>
      </c>
      <c r="P128">
        <v>1630</v>
      </c>
      <c r="Q128" t="s">
        <v>63</v>
      </c>
      <c r="R128" t="s">
        <v>64</v>
      </c>
      <c r="S128" t="s">
        <v>65</v>
      </c>
      <c r="T128" t="s">
        <v>29</v>
      </c>
      <c r="U128" t="s">
        <v>30</v>
      </c>
    </row>
    <row r="129" spans="1:21" x14ac:dyDescent="0.25">
      <c r="A129">
        <v>128</v>
      </c>
      <c r="B129" t="s">
        <v>300</v>
      </c>
      <c r="C129">
        <v>904831</v>
      </c>
      <c r="D129" t="s">
        <v>32</v>
      </c>
      <c r="E129">
        <v>61</v>
      </c>
      <c r="F129" t="str">
        <f t="shared" si="2"/>
        <v>senior</v>
      </c>
      <c r="G129" t="s">
        <v>19</v>
      </c>
      <c r="H129" t="str">
        <f t="shared" si="3"/>
        <v>Dec</v>
      </c>
      <c r="I129" t="s">
        <v>20</v>
      </c>
      <c r="J129" t="s">
        <v>21</v>
      </c>
      <c r="K129" t="s">
        <v>301</v>
      </c>
      <c r="L129" t="s">
        <v>23</v>
      </c>
      <c r="M129" t="s">
        <v>50</v>
      </c>
      <c r="N129">
        <v>1</v>
      </c>
      <c r="O129" t="s">
        <v>25</v>
      </c>
      <c r="P129">
        <v>1643</v>
      </c>
      <c r="Q129" t="s">
        <v>53</v>
      </c>
      <c r="R129" t="s">
        <v>54</v>
      </c>
      <c r="S129" t="s">
        <v>55</v>
      </c>
      <c r="T129" t="s">
        <v>29</v>
      </c>
      <c r="U129" t="s">
        <v>30</v>
      </c>
    </row>
    <row r="130" spans="1:21" x14ac:dyDescent="0.25">
      <c r="A130">
        <v>129</v>
      </c>
      <c r="B130" t="s">
        <v>302</v>
      </c>
      <c r="C130">
        <v>609630</v>
      </c>
      <c r="D130" t="s">
        <v>18</v>
      </c>
      <c r="E130">
        <v>20</v>
      </c>
      <c r="F130" t="str">
        <f t="shared" si="2"/>
        <v>teenager</v>
      </c>
      <c r="G130" t="s">
        <v>19</v>
      </c>
      <c r="H130" t="str">
        <f t="shared" si="3"/>
        <v>Dec</v>
      </c>
      <c r="I130" t="s">
        <v>20</v>
      </c>
      <c r="J130" t="s">
        <v>21</v>
      </c>
      <c r="K130" t="s">
        <v>303</v>
      </c>
      <c r="L130" t="s">
        <v>23</v>
      </c>
      <c r="M130" t="s">
        <v>50</v>
      </c>
      <c r="N130">
        <v>1</v>
      </c>
      <c r="O130" t="s">
        <v>25</v>
      </c>
      <c r="P130">
        <v>1220</v>
      </c>
      <c r="Q130" t="s">
        <v>36</v>
      </c>
      <c r="R130" t="s">
        <v>37</v>
      </c>
      <c r="S130" t="s">
        <v>38</v>
      </c>
      <c r="T130" t="s">
        <v>29</v>
      </c>
      <c r="U130" t="s">
        <v>30</v>
      </c>
    </row>
    <row r="131" spans="1:21" x14ac:dyDescent="0.25">
      <c r="A131">
        <v>130</v>
      </c>
      <c r="B131" t="s">
        <v>304</v>
      </c>
      <c r="C131">
        <v>726540</v>
      </c>
      <c r="D131" t="s">
        <v>32</v>
      </c>
      <c r="E131">
        <v>55</v>
      </c>
      <c r="F131" t="str">
        <f t="shared" ref="F131:F194" si="4">IF(E131&gt;=50,"senior",IF(E131&gt;=30,"adult","teenager"))</f>
        <v>senior</v>
      </c>
      <c r="G131" t="s">
        <v>19</v>
      </c>
      <c r="H131" t="str">
        <f t="shared" ref="H131:H194" si="5">TEXT(G131,"mmm")</f>
        <v>Dec</v>
      </c>
      <c r="I131" t="s">
        <v>20</v>
      </c>
      <c r="J131" t="s">
        <v>21</v>
      </c>
      <c r="K131" t="s">
        <v>305</v>
      </c>
      <c r="L131" t="s">
        <v>58</v>
      </c>
      <c r="M131" t="s">
        <v>35</v>
      </c>
      <c r="N131">
        <v>1</v>
      </c>
      <c r="O131" t="s">
        <v>25</v>
      </c>
      <c r="P131">
        <v>1213</v>
      </c>
      <c r="Q131" t="s">
        <v>63</v>
      </c>
      <c r="R131" t="s">
        <v>64</v>
      </c>
      <c r="S131" t="s">
        <v>65</v>
      </c>
      <c r="T131" t="s">
        <v>29</v>
      </c>
      <c r="U131" t="s">
        <v>43</v>
      </c>
    </row>
    <row r="132" spans="1:21" x14ac:dyDescent="0.25">
      <c r="A132">
        <v>131</v>
      </c>
      <c r="B132" t="s">
        <v>306</v>
      </c>
      <c r="C132">
        <v>997958</v>
      </c>
      <c r="D132" t="s">
        <v>18</v>
      </c>
      <c r="E132">
        <v>50</v>
      </c>
      <c r="F132" t="str">
        <f t="shared" si="4"/>
        <v>senior</v>
      </c>
      <c r="G132" t="s">
        <v>19</v>
      </c>
      <c r="H132" t="str">
        <f t="shared" si="5"/>
        <v>Dec</v>
      </c>
      <c r="I132" t="s">
        <v>20</v>
      </c>
      <c r="J132" t="s">
        <v>40</v>
      </c>
      <c r="K132" t="s">
        <v>307</v>
      </c>
      <c r="L132" t="s">
        <v>23</v>
      </c>
      <c r="M132" t="s">
        <v>47</v>
      </c>
      <c r="N132">
        <v>1</v>
      </c>
      <c r="O132" t="s">
        <v>25</v>
      </c>
      <c r="P132">
        <v>1730</v>
      </c>
      <c r="Q132" t="s">
        <v>26</v>
      </c>
      <c r="R132" t="s">
        <v>27</v>
      </c>
      <c r="S132" t="s">
        <v>28</v>
      </c>
      <c r="T132" t="s">
        <v>29</v>
      </c>
      <c r="U132" t="s">
        <v>30</v>
      </c>
    </row>
    <row r="133" spans="1:21" x14ac:dyDescent="0.25">
      <c r="A133">
        <v>132</v>
      </c>
      <c r="B133" t="s">
        <v>308</v>
      </c>
      <c r="C133">
        <v>877278</v>
      </c>
      <c r="D133" t="s">
        <v>32</v>
      </c>
      <c r="E133">
        <v>62</v>
      </c>
      <c r="F133" t="str">
        <f t="shared" si="4"/>
        <v>senior</v>
      </c>
      <c r="G133" t="s">
        <v>19</v>
      </c>
      <c r="H133" t="str">
        <f t="shared" si="5"/>
        <v>Dec</v>
      </c>
      <c r="I133" t="s">
        <v>20</v>
      </c>
      <c r="J133" t="s">
        <v>33</v>
      </c>
      <c r="K133" t="s">
        <v>309</v>
      </c>
      <c r="L133" t="s">
        <v>42</v>
      </c>
      <c r="M133" t="s">
        <v>35</v>
      </c>
      <c r="N133">
        <v>1</v>
      </c>
      <c r="O133" t="s">
        <v>25</v>
      </c>
      <c r="P133">
        <v>1463</v>
      </c>
      <c r="Q133" t="s">
        <v>63</v>
      </c>
      <c r="R133" t="s">
        <v>64</v>
      </c>
      <c r="S133" t="s">
        <v>65</v>
      </c>
      <c r="T133" t="s">
        <v>29</v>
      </c>
      <c r="U133" t="s">
        <v>30</v>
      </c>
    </row>
    <row r="134" spans="1:21" x14ac:dyDescent="0.25">
      <c r="A134">
        <v>133</v>
      </c>
      <c r="B134" t="s">
        <v>310</v>
      </c>
      <c r="C134">
        <v>193766</v>
      </c>
      <c r="D134" t="s">
        <v>18</v>
      </c>
      <c r="E134">
        <v>29</v>
      </c>
      <c r="F134" t="str">
        <f t="shared" si="4"/>
        <v>teenager</v>
      </c>
      <c r="G134" t="s">
        <v>19</v>
      </c>
      <c r="H134" t="str">
        <f t="shared" si="5"/>
        <v>Dec</v>
      </c>
      <c r="I134" t="s">
        <v>20</v>
      </c>
      <c r="J134" t="s">
        <v>45</v>
      </c>
      <c r="K134" t="s">
        <v>311</v>
      </c>
      <c r="L134" t="s">
        <v>23</v>
      </c>
      <c r="M134" t="s">
        <v>76</v>
      </c>
      <c r="N134">
        <v>1</v>
      </c>
      <c r="O134" t="s">
        <v>25</v>
      </c>
      <c r="P134">
        <v>1761</v>
      </c>
      <c r="Q134" t="s">
        <v>53</v>
      </c>
      <c r="R134" t="s">
        <v>54</v>
      </c>
      <c r="S134" t="s">
        <v>55</v>
      </c>
      <c r="T134" t="s">
        <v>29</v>
      </c>
      <c r="U134" t="s">
        <v>30</v>
      </c>
    </row>
    <row r="135" spans="1:21" x14ac:dyDescent="0.25">
      <c r="A135">
        <v>134</v>
      </c>
      <c r="B135" t="s">
        <v>312</v>
      </c>
      <c r="C135">
        <v>544329</v>
      </c>
      <c r="D135" t="s">
        <v>32</v>
      </c>
      <c r="E135">
        <v>23</v>
      </c>
      <c r="F135" t="str">
        <f t="shared" si="4"/>
        <v>teenager</v>
      </c>
      <c r="G135" t="s">
        <v>19</v>
      </c>
      <c r="H135" t="str">
        <f t="shared" si="5"/>
        <v>Dec</v>
      </c>
      <c r="I135" t="s">
        <v>20</v>
      </c>
      <c r="J135" t="s">
        <v>33</v>
      </c>
      <c r="K135" t="s">
        <v>313</v>
      </c>
      <c r="L135" t="s">
        <v>23</v>
      </c>
      <c r="M135" t="s">
        <v>50</v>
      </c>
      <c r="N135">
        <v>1</v>
      </c>
      <c r="O135" t="s">
        <v>25</v>
      </c>
      <c r="P135">
        <v>753</v>
      </c>
      <c r="Q135" t="s">
        <v>53</v>
      </c>
      <c r="R135" t="s">
        <v>54</v>
      </c>
      <c r="S135" t="s">
        <v>55</v>
      </c>
      <c r="T135" t="s">
        <v>29</v>
      </c>
      <c r="U135" t="s">
        <v>43</v>
      </c>
    </row>
    <row r="136" spans="1:21" x14ac:dyDescent="0.25">
      <c r="A136">
        <v>135</v>
      </c>
      <c r="B136" t="s">
        <v>314</v>
      </c>
      <c r="C136">
        <v>308839</v>
      </c>
      <c r="D136" t="s">
        <v>18</v>
      </c>
      <c r="E136">
        <v>22</v>
      </c>
      <c r="F136" t="str">
        <f t="shared" si="4"/>
        <v>teenager</v>
      </c>
      <c r="G136" t="s">
        <v>19</v>
      </c>
      <c r="H136" t="str">
        <f t="shared" si="5"/>
        <v>Dec</v>
      </c>
      <c r="I136" t="s">
        <v>20</v>
      </c>
      <c r="J136" t="s">
        <v>21</v>
      </c>
      <c r="K136" t="s">
        <v>315</v>
      </c>
      <c r="L136" t="s">
        <v>42</v>
      </c>
      <c r="M136" t="s">
        <v>50</v>
      </c>
      <c r="N136">
        <v>1</v>
      </c>
      <c r="O136" t="s">
        <v>25</v>
      </c>
      <c r="P136">
        <v>1122</v>
      </c>
      <c r="Q136" t="s">
        <v>53</v>
      </c>
      <c r="R136" t="s">
        <v>54</v>
      </c>
      <c r="S136" t="s">
        <v>55</v>
      </c>
      <c r="T136" t="s">
        <v>29</v>
      </c>
      <c r="U136" t="s">
        <v>30</v>
      </c>
    </row>
    <row r="137" spans="1:21" x14ac:dyDescent="0.25">
      <c r="A137">
        <v>136</v>
      </c>
      <c r="B137" t="s">
        <v>316</v>
      </c>
      <c r="C137">
        <v>377161</v>
      </c>
      <c r="D137" t="s">
        <v>32</v>
      </c>
      <c r="E137">
        <v>67</v>
      </c>
      <c r="F137" t="str">
        <f t="shared" si="4"/>
        <v>senior</v>
      </c>
      <c r="G137" t="s">
        <v>19</v>
      </c>
      <c r="H137" t="str">
        <f t="shared" si="5"/>
        <v>Dec</v>
      </c>
      <c r="I137" t="s">
        <v>20</v>
      </c>
      <c r="J137" t="s">
        <v>21</v>
      </c>
      <c r="K137" t="s">
        <v>317</v>
      </c>
      <c r="L137" t="s">
        <v>23</v>
      </c>
      <c r="M137" t="s">
        <v>76</v>
      </c>
      <c r="N137">
        <v>1</v>
      </c>
      <c r="O137" t="s">
        <v>25</v>
      </c>
      <c r="P137">
        <v>810</v>
      </c>
      <c r="Q137" t="s">
        <v>63</v>
      </c>
      <c r="R137" t="s">
        <v>64</v>
      </c>
      <c r="S137" t="s">
        <v>65</v>
      </c>
      <c r="T137" t="s">
        <v>29</v>
      </c>
      <c r="U137" t="s">
        <v>43</v>
      </c>
    </row>
    <row r="138" spans="1:21" x14ac:dyDescent="0.25">
      <c r="A138">
        <v>137</v>
      </c>
      <c r="B138" t="s">
        <v>318</v>
      </c>
      <c r="C138">
        <v>835759</v>
      </c>
      <c r="D138" t="s">
        <v>18</v>
      </c>
      <c r="E138">
        <v>44</v>
      </c>
      <c r="F138" t="str">
        <f t="shared" si="4"/>
        <v>adult</v>
      </c>
      <c r="G138" t="s">
        <v>19</v>
      </c>
      <c r="H138" t="str">
        <f t="shared" si="5"/>
        <v>Dec</v>
      </c>
      <c r="I138" t="s">
        <v>20</v>
      </c>
      <c r="J138" t="s">
        <v>45</v>
      </c>
      <c r="K138" t="s">
        <v>319</v>
      </c>
      <c r="L138" t="s">
        <v>42</v>
      </c>
      <c r="M138" t="s">
        <v>50</v>
      </c>
      <c r="N138">
        <v>1</v>
      </c>
      <c r="O138" t="s">
        <v>25</v>
      </c>
      <c r="P138">
        <v>1959</v>
      </c>
      <c r="Q138" t="s">
        <v>63</v>
      </c>
      <c r="R138" t="s">
        <v>64</v>
      </c>
      <c r="S138" t="s">
        <v>65</v>
      </c>
      <c r="T138" t="s">
        <v>29</v>
      </c>
      <c r="U138" t="s">
        <v>43</v>
      </c>
    </row>
    <row r="139" spans="1:21" x14ac:dyDescent="0.25">
      <c r="A139">
        <v>138</v>
      </c>
      <c r="B139" t="s">
        <v>320</v>
      </c>
      <c r="C139">
        <v>329983</v>
      </c>
      <c r="D139" t="s">
        <v>32</v>
      </c>
      <c r="E139">
        <v>48</v>
      </c>
      <c r="F139" t="str">
        <f t="shared" si="4"/>
        <v>adult</v>
      </c>
      <c r="G139" t="s">
        <v>19</v>
      </c>
      <c r="H139" t="str">
        <f t="shared" si="5"/>
        <v>Dec</v>
      </c>
      <c r="I139" t="s">
        <v>20</v>
      </c>
      <c r="J139" t="s">
        <v>33</v>
      </c>
      <c r="K139" t="s">
        <v>321</v>
      </c>
      <c r="L139" t="s">
        <v>58</v>
      </c>
      <c r="M139" t="s">
        <v>24</v>
      </c>
      <c r="N139">
        <v>1</v>
      </c>
      <c r="O139" t="s">
        <v>25</v>
      </c>
      <c r="P139">
        <v>1434</v>
      </c>
      <c r="Q139" t="s">
        <v>26</v>
      </c>
      <c r="R139" t="s">
        <v>27</v>
      </c>
      <c r="S139" t="s">
        <v>28</v>
      </c>
      <c r="T139" t="s">
        <v>29</v>
      </c>
      <c r="U139" t="s">
        <v>30</v>
      </c>
    </row>
    <row r="140" spans="1:21" x14ac:dyDescent="0.25">
      <c r="A140">
        <v>139</v>
      </c>
      <c r="B140" t="s">
        <v>322</v>
      </c>
      <c r="C140">
        <v>372809</v>
      </c>
      <c r="D140" t="s">
        <v>18</v>
      </c>
      <c r="E140">
        <v>35</v>
      </c>
      <c r="F140" t="str">
        <f t="shared" si="4"/>
        <v>adult</v>
      </c>
      <c r="G140" t="s">
        <v>19</v>
      </c>
      <c r="H140" t="str">
        <f t="shared" si="5"/>
        <v>Dec</v>
      </c>
      <c r="I140" t="s">
        <v>20</v>
      </c>
      <c r="J140" t="s">
        <v>45</v>
      </c>
      <c r="K140" t="s">
        <v>323</v>
      </c>
      <c r="L140" t="s">
        <v>23</v>
      </c>
      <c r="M140" t="s">
        <v>50</v>
      </c>
      <c r="N140">
        <v>1</v>
      </c>
      <c r="O140" t="s">
        <v>25</v>
      </c>
      <c r="P140">
        <v>908</v>
      </c>
      <c r="Q140" t="s">
        <v>63</v>
      </c>
      <c r="R140" t="s">
        <v>64</v>
      </c>
      <c r="S140" t="s">
        <v>65</v>
      </c>
      <c r="T140" t="s">
        <v>29</v>
      </c>
      <c r="U140" t="s">
        <v>43</v>
      </c>
    </row>
    <row r="141" spans="1:21" x14ac:dyDescent="0.25">
      <c r="A141">
        <v>140</v>
      </c>
      <c r="B141" t="s">
        <v>324</v>
      </c>
      <c r="C141">
        <v>994070</v>
      </c>
      <c r="D141" t="s">
        <v>32</v>
      </c>
      <c r="E141">
        <v>60</v>
      </c>
      <c r="F141" t="str">
        <f t="shared" si="4"/>
        <v>senior</v>
      </c>
      <c r="G141" t="s">
        <v>19</v>
      </c>
      <c r="H141" t="str">
        <f t="shared" si="5"/>
        <v>Dec</v>
      </c>
      <c r="I141" t="s">
        <v>20</v>
      </c>
      <c r="J141" t="s">
        <v>40</v>
      </c>
      <c r="K141" t="s">
        <v>325</v>
      </c>
      <c r="L141" t="s">
        <v>58</v>
      </c>
      <c r="M141" t="s">
        <v>47</v>
      </c>
      <c r="N141">
        <v>1</v>
      </c>
      <c r="O141" t="s">
        <v>25</v>
      </c>
      <c r="P141">
        <v>808</v>
      </c>
      <c r="Q141" t="s">
        <v>26</v>
      </c>
      <c r="R141" t="s">
        <v>27</v>
      </c>
      <c r="S141" t="s">
        <v>28</v>
      </c>
      <c r="T141" t="s">
        <v>29</v>
      </c>
      <c r="U141" t="s">
        <v>30</v>
      </c>
    </row>
    <row r="142" spans="1:21" x14ac:dyDescent="0.25">
      <c r="A142">
        <v>141</v>
      </c>
      <c r="B142" t="s">
        <v>326</v>
      </c>
      <c r="C142">
        <v>437906</v>
      </c>
      <c r="D142" t="s">
        <v>18</v>
      </c>
      <c r="E142">
        <v>19</v>
      </c>
      <c r="F142" t="str">
        <f t="shared" si="4"/>
        <v>teenager</v>
      </c>
      <c r="G142" t="s">
        <v>19</v>
      </c>
      <c r="H142" t="str">
        <f t="shared" si="5"/>
        <v>Dec</v>
      </c>
      <c r="I142" t="s">
        <v>20</v>
      </c>
      <c r="J142" t="s">
        <v>40</v>
      </c>
      <c r="K142" t="s">
        <v>327</v>
      </c>
      <c r="L142" t="s">
        <v>58</v>
      </c>
      <c r="M142" t="s">
        <v>50</v>
      </c>
      <c r="N142">
        <v>1</v>
      </c>
      <c r="O142" t="s">
        <v>25</v>
      </c>
      <c r="P142">
        <v>814</v>
      </c>
      <c r="Q142" t="s">
        <v>26</v>
      </c>
      <c r="R142" t="s">
        <v>27</v>
      </c>
      <c r="S142" t="s">
        <v>28</v>
      </c>
      <c r="T142" t="s">
        <v>29</v>
      </c>
      <c r="U142" t="s">
        <v>43</v>
      </c>
    </row>
    <row r="143" spans="1:21" x14ac:dyDescent="0.25">
      <c r="A143">
        <v>142</v>
      </c>
      <c r="B143" t="s">
        <v>328</v>
      </c>
      <c r="C143">
        <v>589005</v>
      </c>
      <c r="D143" t="s">
        <v>32</v>
      </c>
      <c r="E143">
        <v>25</v>
      </c>
      <c r="F143" t="str">
        <f t="shared" si="4"/>
        <v>teenager</v>
      </c>
      <c r="G143" t="s">
        <v>19</v>
      </c>
      <c r="H143" t="str">
        <f t="shared" si="5"/>
        <v>Dec</v>
      </c>
      <c r="I143" t="s">
        <v>20</v>
      </c>
      <c r="J143" t="s">
        <v>40</v>
      </c>
      <c r="K143" t="s">
        <v>329</v>
      </c>
      <c r="L143" t="s">
        <v>23</v>
      </c>
      <c r="M143" t="s">
        <v>76</v>
      </c>
      <c r="N143">
        <v>1</v>
      </c>
      <c r="O143" t="s">
        <v>25</v>
      </c>
      <c r="P143">
        <v>616</v>
      </c>
      <c r="Q143" t="s">
        <v>63</v>
      </c>
      <c r="R143" t="s">
        <v>64</v>
      </c>
      <c r="S143" t="s">
        <v>65</v>
      </c>
      <c r="T143" t="s">
        <v>29</v>
      </c>
      <c r="U143" t="s">
        <v>30</v>
      </c>
    </row>
    <row r="144" spans="1:21" x14ac:dyDescent="0.25">
      <c r="A144">
        <v>143</v>
      </c>
      <c r="B144" t="s">
        <v>330</v>
      </c>
      <c r="C144">
        <v>467539</v>
      </c>
      <c r="D144" t="s">
        <v>18</v>
      </c>
      <c r="E144">
        <v>60</v>
      </c>
      <c r="F144" t="str">
        <f t="shared" si="4"/>
        <v>senior</v>
      </c>
      <c r="G144" t="s">
        <v>19</v>
      </c>
      <c r="H144" t="str">
        <f t="shared" si="5"/>
        <v>Dec</v>
      </c>
      <c r="I144" t="s">
        <v>20</v>
      </c>
      <c r="J144" t="s">
        <v>40</v>
      </c>
      <c r="K144" t="s">
        <v>331</v>
      </c>
      <c r="L144" t="s">
        <v>42</v>
      </c>
      <c r="M144" t="s">
        <v>24</v>
      </c>
      <c r="N144">
        <v>1</v>
      </c>
      <c r="O144" t="s">
        <v>25</v>
      </c>
      <c r="P144">
        <v>646</v>
      </c>
      <c r="Q144" t="s">
        <v>36</v>
      </c>
      <c r="R144" t="s">
        <v>37</v>
      </c>
      <c r="S144" t="s">
        <v>38</v>
      </c>
      <c r="T144" t="s">
        <v>29</v>
      </c>
      <c r="U144" t="s">
        <v>30</v>
      </c>
    </row>
    <row r="145" spans="1:21" x14ac:dyDescent="0.25">
      <c r="A145">
        <v>144</v>
      </c>
      <c r="B145" t="s">
        <v>332</v>
      </c>
      <c r="C145">
        <v>703479</v>
      </c>
      <c r="D145" t="s">
        <v>32</v>
      </c>
      <c r="E145">
        <v>42</v>
      </c>
      <c r="F145" t="str">
        <f t="shared" si="4"/>
        <v>adult</v>
      </c>
      <c r="G145" t="s">
        <v>19</v>
      </c>
      <c r="H145" t="str">
        <f t="shared" si="5"/>
        <v>Dec</v>
      </c>
      <c r="I145" t="s">
        <v>20</v>
      </c>
      <c r="J145" t="s">
        <v>33</v>
      </c>
      <c r="K145" t="s">
        <v>333</v>
      </c>
      <c r="L145" t="s">
        <v>42</v>
      </c>
      <c r="M145" t="s">
        <v>47</v>
      </c>
      <c r="N145">
        <v>1</v>
      </c>
      <c r="O145" t="s">
        <v>25</v>
      </c>
      <c r="P145">
        <v>1516</v>
      </c>
      <c r="Q145" t="s">
        <v>36</v>
      </c>
      <c r="R145" t="s">
        <v>37</v>
      </c>
      <c r="S145" t="s">
        <v>38</v>
      </c>
      <c r="T145" t="s">
        <v>29</v>
      </c>
      <c r="U145" t="s">
        <v>30</v>
      </c>
    </row>
    <row r="146" spans="1:21" x14ac:dyDescent="0.25">
      <c r="A146">
        <v>145</v>
      </c>
      <c r="B146" t="s">
        <v>334</v>
      </c>
      <c r="C146">
        <v>802341</v>
      </c>
      <c r="D146" t="s">
        <v>18</v>
      </c>
      <c r="E146">
        <v>19</v>
      </c>
      <c r="F146" t="str">
        <f t="shared" si="4"/>
        <v>teenager</v>
      </c>
      <c r="G146" t="s">
        <v>19</v>
      </c>
      <c r="H146" t="str">
        <f t="shared" si="5"/>
        <v>Dec</v>
      </c>
      <c r="I146" t="s">
        <v>20</v>
      </c>
      <c r="J146" t="s">
        <v>40</v>
      </c>
      <c r="K146" t="s">
        <v>335</v>
      </c>
      <c r="L146" t="s">
        <v>23</v>
      </c>
      <c r="M146" t="s">
        <v>47</v>
      </c>
      <c r="N146">
        <v>1</v>
      </c>
      <c r="O146" t="s">
        <v>25</v>
      </c>
      <c r="P146">
        <v>675</v>
      </c>
      <c r="Q146" t="s">
        <v>63</v>
      </c>
      <c r="R146" t="s">
        <v>64</v>
      </c>
      <c r="S146" t="s">
        <v>65</v>
      </c>
      <c r="T146" t="s">
        <v>29</v>
      </c>
      <c r="U146" t="s">
        <v>43</v>
      </c>
    </row>
    <row r="147" spans="1:21" x14ac:dyDescent="0.25">
      <c r="A147">
        <v>146</v>
      </c>
      <c r="B147" t="s">
        <v>336</v>
      </c>
      <c r="C147">
        <v>459450</v>
      </c>
      <c r="D147" t="s">
        <v>32</v>
      </c>
      <c r="E147">
        <v>45</v>
      </c>
      <c r="F147" t="str">
        <f t="shared" si="4"/>
        <v>adult</v>
      </c>
      <c r="G147" t="s">
        <v>19</v>
      </c>
      <c r="H147" t="str">
        <f t="shared" si="5"/>
        <v>Dec</v>
      </c>
      <c r="I147" t="s">
        <v>20</v>
      </c>
      <c r="J147" t="s">
        <v>40</v>
      </c>
      <c r="K147" t="s">
        <v>337</v>
      </c>
      <c r="L147" t="s">
        <v>23</v>
      </c>
      <c r="M147" t="s">
        <v>24</v>
      </c>
      <c r="N147">
        <v>1</v>
      </c>
      <c r="O147" t="s">
        <v>25</v>
      </c>
      <c r="P147">
        <v>1270</v>
      </c>
      <c r="Q147" t="s">
        <v>36</v>
      </c>
      <c r="R147" t="s">
        <v>37</v>
      </c>
      <c r="S147" t="s">
        <v>38</v>
      </c>
      <c r="T147" t="s">
        <v>29</v>
      </c>
      <c r="U147" t="s">
        <v>43</v>
      </c>
    </row>
    <row r="148" spans="1:21" x14ac:dyDescent="0.25">
      <c r="A148">
        <v>147</v>
      </c>
      <c r="B148" t="s">
        <v>338</v>
      </c>
      <c r="C148">
        <v>244204</v>
      </c>
      <c r="D148" t="s">
        <v>18</v>
      </c>
      <c r="E148">
        <v>31</v>
      </c>
      <c r="F148" t="str">
        <f t="shared" si="4"/>
        <v>adult</v>
      </c>
      <c r="G148" t="s">
        <v>19</v>
      </c>
      <c r="H148" t="str">
        <f t="shared" si="5"/>
        <v>Dec</v>
      </c>
      <c r="I148" t="s">
        <v>20</v>
      </c>
      <c r="J148" t="s">
        <v>45</v>
      </c>
      <c r="K148" t="s">
        <v>339</v>
      </c>
      <c r="L148" t="s">
        <v>58</v>
      </c>
      <c r="M148" t="s">
        <v>76</v>
      </c>
      <c r="N148">
        <v>1</v>
      </c>
      <c r="O148" t="s">
        <v>25</v>
      </c>
      <c r="P148">
        <v>1053</v>
      </c>
      <c r="Q148" t="s">
        <v>63</v>
      </c>
      <c r="R148" t="s">
        <v>64</v>
      </c>
      <c r="S148" t="s">
        <v>65</v>
      </c>
      <c r="T148" t="s">
        <v>29</v>
      </c>
      <c r="U148" t="s">
        <v>43</v>
      </c>
    </row>
    <row r="149" spans="1:21" x14ac:dyDescent="0.25">
      <c r="A149">
        <v>148</v>
      </c>
      <c r="B149" t="s">
        <v>340</v>
      </c>
      <c r="C149">
        <v>311378</v>
      </c>
      <c r="D149" t="s">
        <v>32</v>
      </c>
      <c r="E149">
        <v>23</v>
      </c>
      <c r="F149" t="str">
        <f t="shared" si="4"/>
        <v>teenager</v>
      </c>
      <c r="G149" t="s">
        <v>19</v>
      </c>
      <c r="H149" t="str">
        <f t="shared" si="5"/>
        <v>Dec</v>
      </c>
      <c r="I149" t="s">
        <v>20</v>
      </c>
      <c r="J149" t="s">
        <v>45</v>
      </c>
      <c r="K149" t="s">
        <v>341</v>
      </c>
      <c r="L149" t="s">
        <v>23</v>
      </c>
      <c r="M149" t="s">
        <v>24</v>
      </c>
      <c r="N149">
        <v>1</v>
      </c>
      <c r="O149" t="s">
        <v>25</v>
      </c>
      <c r="P149">
        <v>329</v>
      </c>
      <c r="Q149" t="s">
        <v>36</v>
      </c>
      <c r="R149" t="s">
        <v>37</v>
      </c>
      <c r="S149" t="s">
        <v>38</v>
      </c>
      <c r="T149" t="s">
        <v>29</v>
      </c>
      <c r="U149" t="s">
        <v>43</v>
      </c>
    </row>
    <row r="150" spans="1:21" x14ac:dyDescent="0.25">
      <c r="A150">
        <v>149</v>
      </c>
      <c r="B150" t="s">
        <v>342</v>
      </c>
      <c r="C150">
        <v>684721</v>
      </c>
      <c r="D150" t="s">
        <v>18</v>
      </c>
      <c r="E150">
        <v>19</v>
      </c>
      <c r="F150" t="str">
        <f t="shared" si="4"/>
        <v>teenager</v>
      </c>
      <c r="G150" t="s">
        <v>19</v>
      </c>
      <c r="H150" t="str">
        <f t="shared" si="5"/>
        <v>Dec</v>
      </c>
      <c r="I150" t="s">
        <v>20</v>
      </c>
      <c r="J150" t="s">
        <v>21</v>
      </c>
      <c r="K150" t="s">
        <v>343</v>
      </c>
      <c r="L150" t="s">
        <v>42</v>
      </c>
      <c r="M150" t="s">
        <v>24</v>
      </c>
      <c r="N150">
        <v>1</v>
      </c>
      <c r="O150" t="s">
        <v>25</v>
      </c>
      <c r="P150">
        <v>1627</v>
      </c>
      <c r="Q150" t="s">
        <v>63</v>
      </c>
      <c r="R150" t="s">
        <v>64</v>
      </c>
      <c r="S150" t="s">
        <v>65</v>
      </c>
      <c r="T150" t="s">
        <v>29</v>
      </c>
      <c r="U150" t="s">
        <v>30</v>
      </c>
    </row>
    <row r="151" spans="1:21" x14ac:dyDescent="0.25">
      <c r="A151">
        <v>150</v>
      </c>
      <c r="B151" t="s">
        <v>344</v>
      </c>
      <c r="C151">
        <v>332007</v>
      </c>
      <c r="D151" t="s">
        <v>32</v>
      </c>
      <c r="E151">
        <v>61</v>
      </c>
      <c r="F151" t="str">
        <f t="shared" si="4"/>
        <v>senior</v>
      </c>
      <c r="G151" t="s">
        <v>19</v>
      </c>
      <c r="H151" t="str">
        <f t="shared" si="5"/>
        <v>Dec</v>
      </c>
      <c r="I151" t="s">
        <v>20</v>
      </c>
      <c r="J151" t="s">
        <v>45</v>
      </c>
      <c r="K151" t="s">
        <v>345</v>
      </c>
      <c r="L151" t="s">
        <v>58</v>
      </c>
      <c r="M151" t="s">
        <v>47</v>
      </c>
      <c r="N151">
        <v>1</v>
      </c>
      <c r="O151" t="s">
        <v>25</v>
      </c>
      <c r="P151">
        <v>1760</v>
      </c>
      <c r="Q151" t="s">
        <v>63</v>
      </c>
      <c r="R151" t="s">
        <v>64</v>
      </c>
      <c r="S151" t="s">
        <v>65</v>
      </c>
      <c r="T151" t="s">
        <v>29</v>
      </c>
      <c r="U151" t="s">
        <v>43</v>
      </c>
    </row>
    <row r="152" spans="1:21" x14ac:dyDescent="0.25">
      <c r="A152">
        <v>151</v>
      </c>
      <c r="B152" t="s">
        <v>346</v>
      </c>
      <c r="C152">
        <v>439228</v>
      </c>
      <c r="D152" t="s">
        <v>18</v>
      </c>
      <c r="E152">
        <v>64</v>
      </c>
      <c r="F152" t="str">
        <f t="shared" si="4"/>
        <v>senior</v>
      </c>
      <c r="G152" t="s">
        <v>19</v>
      </c>
      <c r="H152" t="str">
        <f t="shared" si="5"/>
        <v>Dec</v>
      </c>
      <c r="I152" t="s">
        <v>20</v>
      </c>
      <c r="J152" t="s">
        <v>21</v>
      </c>
      <c r="K152" t="s">
        <v>347</v>
      </c>
      <c r="L152" t="s">
        <v>42</v>
      </c>
      <c r="M152" t="s">
        <v>35</v>
      </c>
      <c r="N152">
        <v>1</v>
      </c>
      <c r="O152" t="s">
        <v>25</v>
      </c>
      <c r="P152">
        <v>324</v>
      </c>
      <c r="Q152" t="s">
        <v>53</v>
      </c>
      <c r="R152" t="s">
        <v>54</v>
      </c>
      <c r="S152" t="s">
        <v>55</v>
      </c>
      <c r="T152" t="s">
        <v>29</v>
      </c>
      <c r="U152" t="s">
        <v>30</v>
      </c>
    </row>
    <row r="153" spans="1:21" x14ac:dyDescent="0.25">
      <c r="A153">
        <v>152</v>
      </c>
      <c r="B153" t="s">
        <v>348</v>
      </c>
      <c r="C153">
        <v>278278</v>
      </c>
      <c r="D153" t="s">
        <v>32</v>
      </c>
      <c r="E153">
        <v>26</v>
      </c>
      <c r="F153" t="str">
        <f t="shared" si="4"/>
        <v>teenager</v>
      </c>
      <c r="G153" t="s">
        <v>19</v>
      </c>
      <c r="H153" t="str">
        <f t="shared" si="5"/>
        <v>Dec</v>
      </c>
      <c r="I153" t="s">
        <v>20</v>
      </c>
      <c r="J153" t="s">
        <v>21</v>
      </c>
      <c r="K153" t="s">
        <v>349</v>
      </c>
      <c r="L153" t="s">
        <v>42</v>
      </c>
      <c r="M153" t="s">
        <v>50</v>
      </c>
      <c r="N153">
        <v>1</v>
      </c>
      <c r="O153" t="s">
        <v>25</v>
      </c>
      <c r="P153">
        <v>468</v>
      </c>
      <c r="Q153" t="s">
        <v>36</v>
      </c>
      <c r="R153" t="s">
        <v>37</v>
      </c>
      <c r="S153" t="s">
        <v>38</v>
      </c>
      <c r="T153" t="s">
        <v>29</v>
      </c>
      <c r="U153" t="s">
        <v>30</v>
      </c>
    </row>
    <row r="154" spans="1:21" x14ac:dyDescent="0.25">
      <c r="A154">
        <v>153</v>
      </c>
      <c r="B154" t="s">
        <v>350</v>
      </c>
      <c r="C154">
        <v>687077</v>
      </c>
      <c r="D154" t="s">
        <v>18</v>
      </c>
      <c r="E154">
        <v>31</v>
      </c>
      <c r="F154" t="str">
        <f t="shared" si="4"/>
        <v>adult</v>
      </c>
      <c r="G154" t="s">
        <v>19</v>
      </c>
      <c r="H154" t="str">
        <f t="shared" si="5"/>
        <v>Dec</v>
      </c>
      <c r="I154" t="s">
        <v>20</v>
      </c>
      <c r="J154" t="s">
        <v>33</v>
      </c>
      <c r="K154" t="s">
        <v>351</v>
      </c>
      <c r="L154" t="s">
        <v>58</v>
      </c>
      <c r="M154" t="s">
        <v>47</v>
      </c>
      <c r="N154">
        <v>1</v>
      </c>
      <c r="O154" t="s">
        <v>25</v>
      </c>
      <c r="P154">
        <v>1169</v>
      </c>
      <c r="Q154" t="s">
        <v>36</v>
      </c>
      <c r="R154" t="s">
        <v>37</v>
      </c>
      <c r="S154" t="s">
        <v>38</v>
      </c>
      <c r="T154" t="s">
        <v>29</v>
      </c>
      <c r="U154" t="s">
        <v>43</v>
      </c>
    </row>
    <row r="155" spans="1:21" x14ac:dyDescent="0.25">
      <c r="A155">
        <v>154</v>
      </c>
      <c r="B155" t="s">
        <v>352</v>
      </c>
      <c r="C155">
        <v>578185</v>
      </c>
      <c r="D155" t="s">
        <v>32</v>
      </c>
      <c r="E155">
        <v>53</v>
      </c>
      <c r="F155" t="str">
        <f t="shared" si="4"/>
        <v>senior</v>
      </c>
      <c r="G155" t="s">
        <v>19</v>
      </c>
      <c r="H155" t="str">
        <f t="shared" si="5"/>
        <v>Dec</v>
      </c>
      <c r="I155" t="s">
        <v>20</v>
      </c>
      <c r="J155" t="s">
        <v>45</v>
      </c>
      <c r="K155" t="s">
        <v>353</v>
      </c>
      <c r="L155" t="s">
        <v>42</v>
      </c>
      <c r="M155" t="s">
        <v>50</v>
      </c>
      <c r="N155">
        <v>1</v>
      </c>
      <c r="O155" t="s">
        <v>25</v>
      </c>
      <c r="P155">
        <v>664</v>
      </c>
      <c r="Q155" t="s">
        <v>63</v>
      </c>
      <c r="R155" t="s">
        <v>64</v>
      </c>
      <c r="S155" t="s">
        <v>65</v>
      </c>
      <c r="T155" t="s">
        <v>29</v>
      </c>
      <c r="U155" t="s">
        <v>43</v>
      </c>
    </row>
    <row r="156" spans="1:21" x14ac:dyDescent="0.25">
      <c r="A156">
        <v>155</v>
      </c>
      <c r="B156" t="s">
        <v>354</v>
      </c>
      <c r="C156">
        <v>121680</v>
      </c>
      <c r="D156" t="s">
        <v>18</v>
      </c>
      <c r="E156">
        <v>32</v>
      </c>
      <c r="F156" t="str">
        <f t="shared" si="4"/>
        <v>adult</v>
      </c>
      <c r="G156" t="s">
        <v>19</v>
      </c>
      <c r="H156" t="str">
        <f t="shared" si="5"/>
        <v>Dec</v>
      </c>
      <c r="I156" t="s">
        <v>20</v>
      </c>
      <c r="J156" t="s">
        <v>33</v>
      </c>
      <c r="K156" t="s">
        <v>355</v>
      </c>
      <c r="L156" t="s">
        <v>42</v>
      </c>
      <c r="M156" t="s">
        <v>35</v>
      </c>
      <c r="N156">
        <v>1</v>
      </c>
      <c r="O156" t="s">
        <v>25</v>
      </c>
      <c r="P156">
        <v>1167</v>
      </c>
      <c r="Q156" t="s">
        <v>36</v>
      </c>
      <c r="R156" t="s">
        <v>37</v>
      </c>
      <c r="S156" t="s">
        <v>38</v>
      </c>
      <c r="T156" t="s">
        <v>29</v>
      </c>
      <c r="U156" t="s">
        <v>43</v>
      </c>
    </row>
    <row r="157" spans="1:21" x14ac:dyDescent="0.25">
      <c r="A157">
        <v>156</v>
      </c>
      <c r="B157" t="s">
        <v>356</v>
      </c>
      <c r="C157">
        <v>588866</v>
      </c>
      <c r="D157" t="s">
        <v>32</v>
      </c>
      <c r="E157">
        <v>69</v>
      </c>
      <c r="F157" t="str">
        <f t="shared" si="4"/>
        <v>senior</v>
      </c>
      <c r="G157" t="s">
        <v>19</v>
      </c>
      <c r="H157" t="str">
        <f t="shared" si="5"/>
        <v>Dec</v>
      </c>
      <c r="I157" t="s">
        <v>20</v>
      </c>
      <c r="J157" t="s">
        <v>21</v>
      </c>
      <c r="K157" t="s">
        <v>357</v>
      </c>
      <c r="L157" t="s">
        <v>42</v>
      </c>
      <c r="M157" t="s">
        <v>24</v>
      </c>
      <c r="N157">
        <v>1</v>
      </c>
      <c r="O157" t="s">
        <v>25</v>
      </c>
      <c r="P157">
        <v>760</v>
      </c>
      <c r="Q157" t="s">
        <v>63</v>
      </c>
      <c r="R157" t="s">
        <v>64</v>
      </c>
      <c r="S157" t="s">
        <v>65</v>
      </c>
      <c r="T157" t="s">
        <v>29</v>
      </c>
      <c r="U157" t="s">
        <v>43</v>
      </c>
    </row>
    <row r="158" spans="1:21" x14ac:dyDescent="0.25">
      <c r="A158">
        <v>157</v>
      </c>
      <c r="B158" t="s">
        <v>358</v>
      </c>
      <c r="C158">
        <v>840873</v>
      </c>
      <c r="D158" t="s">
        <v>18</v>
      </c>
      <c r="E158">
        <v>65</v>
      </c>
      <c r="F158" t="str">
        <f t="shared" si="4"/>
        <v>senior</v>
      </c>
      <c r="G158" t="s">
        <v>19</v>
      </c>
      <c r="H158" t="str">
        <f t="shared" si="5"/>
        <v>Dec</v>
      </c>
      <c r="I158" t="s">
        <v>20</v>
      </c>
      <c r="J158" t="s">
        <v>21</v>
      </c>
      <c r="K158" t="s">
        <v>214</v>
      </c>
      <c r="L158" t="s">
        <v>42</v>
      </c>
      <c r="M158" t="s">
        <v>76</v>
      </c>
      <c r="N158">
        <v>1</v>
      </c>
      <c r="O158" t="s">
        <v>25</v>
      </c>
      <c r="P158">
        <v>489</v>
      </c>
      <c r="Q158" t="s">
        <v>26</v>
      </c>
      <c r="R158" t="s">
        <v>27</v>
      </c>
      <c r="S158" t="s">
        <v>28</v>
      </c>
      <c r="T158" t="s">
        <v>29</v>
      </c>
      <c r="U158" t="s">
        <v>43</v>
      </c>
    </row>
    <row r="159" spans="1:21" x14ac:dyDescent="0.25">
      <c r="A159">
        <v>158</v>
      </c>
      <c r="B159" t="s">
        <v>359</v>
      </c>
      <c r="C159">
        <v>773008</v>
      </c>
      <c r="D159" t="s">
        <v>32</v>
      </c>
      <c r="E159">
        <v>49</v>
      </c>
      <c r="F159" t="str">
        <f t="shared" si="4"/>
        <v>adult</v>
      </c>
      <c r="G159" t="s">
        <v>19</v>
      </c>
      <c r="H159" t="str">
        <f t="shared" si="5"/>
        <v>Dec</v>
      </c>
      <c r="I159" t="s">
        <v>20</v>
      </c>
      <c r="J159" t="s">
        <v>33</v>
      </c>
      <c r="K159" t="s">
        <v>360</v>
      </c>
      <c r="L159" t="s">
        <v>23</v>
      </c>
      <c r="M159" t="s">
        <v>35</v>
      </c>
      <c r="N159">
        <v>1</v>
      </c>
      <c r="O159" t="s">
        <v>25</v>
      </c>
      <c r="P159">
        <v>303</v>
      </c>
      <c r="Q159" t="s">
        <v>36</v>
      </c>
      <c r="R159" t="s">
        <v>37</v>
      </c>
      <c r="S159" t="s">
        <v>38</v>
      </c>
      <c r="T159" t="s">
        <v>29</v>
      </c>
      <c r="U159" t="s">
        <v>43</v>
      </c>
    </row>
    <row r="160" spans="1:21" x14ac:dyDescent="0.25">
      <c r="A160">
        <v>159</v>
      </c>
      <c r="B160" t="s">
        <v>361</v>
      </c>
      <c r="C160">
        <v>544362</v>
      </c>
      <c r="D160" t="s">
        <v>18</v>
      </c>
      <c r="E160">
        <v>65</v>
      </c>
      <c r="F160" t="str">
        <f t="shared" si="4"/>
        <v>senior</v>
      </c>
      <c r="G160" t="s">
        <v>19</v>
      </c>
      <c r="H160" t="str">
        <f t="shared" si="5"/>
        <v>Dec</v>
      </c>
      <c r="I160" t="s">
        <v>20</v>
      </c>
      <c r="J160" t="s">
        <v>21</v>
      </c>
      <c r="K160" t="s">
        <v>362</v>
      </c>
      <c r="L160" t="s">
        <v>58</v>
      </c>
      <c r="M160" t="s">
        <v>47</v>
      </c>
      <c r="N160">
        <v>1</v>
      </c>
      <c r="O160" t="s">
        <v>25</v>
      </c>
      <c r="P160">
        <v>1483</v>
      </c>
      <c r="Q160" t="s">
        <v>53</v>
      </c>
      <c r="R160" t="s">
        <v>54</v>
      </c>
      <c r="S160" t="s">
        <v>55</v>
      </c>
      <c r="T160" t="s">
        <v>29</v>
      </c>
      <c r="U160" t="s">
        <v>43</v>
      </c>
    </row>
    <row r="161" spans="1:21" x14ac:dyDescent="0.25">
      <c r="A161">
        <v>160</v>
      </c>
      <c r="B161" t="s">
        <v>363</v>
      </c>
      <c r="C161">
        <v>429723</v>
      </c>
      <c r="D161" t="s">
        <v>32</v>
      </c>
      <c r="E161">
        <v>31</v>
      </c>
      <c r="F161" t="str">
        <f t="shared" si="4"/>
        <v>adult</v>
      </c>
      <c r="G161" t="s">
        <v>19</v>
      </c>
      <c r="H161" t="str">
        <f t="shared" si="5"/>
        <v>Dec</v>
      </c>
      <c r="I161" t="s">
        <v>20</v>
      </c>
      <c r="J161" t="s">
        <v>40</v>
      </c>
      <c r="K161" t="s">
        <v>364</v>
      </c>
      <c r="L161" t="s">
        <v>42</v>
      </c>
      <c r="M161" t="s">
        <v>47</v>
      </c>
      <c r="N161">
        <v>1</v>
      </c>
      <c r="O161" t="s">
        <v>25</v>
      </c>
      <c r="P161">
        <v>1655</v>
      </c>
      <c r="Q161" t="s">
        <v>53</v>
      </c>
      <c r="R161" t="s">
        <v>54</v>
      </c>
      <c r="S161" t="s">
        <v>55</v>
      </c>
      <c r="T161" t="s">
        <v>29</v>
      </c>
      <c r="U161" t="s">
        <v>30</v>
      </c>
    </row>
    <row r="162" spans="1:21" x14ac:dyDescent="0.25">
      <c r="A162">
        <v>161</v>
      </c>
      <c r="B162" t="s">
        <v>365</v>
      </c>
      <c r="C162">
        <v>191063</v>
      </c>
      <c r="D162" t="s">
        <v>18</v>
      </c>
      <c r="E162">
        <v>55</v>
      </c>
      <c r="F162" t="str">
        <f t="shared" si="4"/>
        <v>senior</v>
      </c>
      <c r="G162" t="s">
        <v>19</v>
      </c>
      <c r="H162" t="str">
        <f t="shared" si="5"/>
        <v>Dec</v>
      </c>
      <c r="I162" t="s">
        <v>20</v>
      </c>
      <c r="J162" t="s">
        <v>40</v>
      </c>
      <c r="K162" t="s">
        <v>366</v>
      </c>
      <c r="L162" t="s">
        <v>42</v>
      </c>
      <c r="M162" t="s">
        <v>35</v>
      </c>
      <c r="N162">
        <v>1</v>
      </c>
      <c r="O162" t="s">
        <v>25</v>
      </c>
      <c r="P162">
        <v>1016</v>
      </c>
      <c r="Q162" t="s">
        <v>26</v>
      </c>
      <c r="R162" t="s">
        <v>27</v>
      </c>
      <c r="S162" t="s">
        <v>28</v>
      </c>
      <c r="T162" t="s">
        <v>29</v>
      </c>
      <c r="U162" t="s">
        <v>30</v>
      </c>
    </row>
    <row r="163" spans="1:21" x14ac:dyDescent="0.25">
      <c r="A163">
        <v>162</v>
      </c>
      <c r="B163" t="s">
        <v>367</v>
      </c>
      <c r="C163">
        <v>731136</v>
      </c>
      <c r="D163" t="s">
        <v>32</v>
      </c>
      <c r="E163">
        <v>50</v>
      </c>
      <c r="F163" t="str">
        <f t="shared" si="4"/>
        <v>senior</v>
      </c>
      <c r="G163" t="s">
        <v>19</v>
      </c>
      <c r="H163" t="str">
        <f t="shared" si="5"/>
        <v>Dec</v>
      </c>
      <c r="I163" t="s">
        <v>20</v>
      </c>
      <c r="J163" t="s">
        <v>40</v>
      </c>
      <c r="K163" t="s">
        <v>368</v>
      </c>
      <c r="L163" t="s">
        <v>23</v>
      </c>
      <c r="M163" t="s">
        <v>76</v>
      </c>
      <c r="N163">
        <v>1</v>
      </c>
      <c r="O163" t="s">
        <v>25</v>
      </c>
      <c r="P163">
        <v>945</v>
      </c>
      <c r="Q163" t="s">
        <v>53</v>
      </c>
      <c r="R163" t="s">
        <v>54</v>
      </c>
      <c r="S163" t="s">
        <v>55</v>
      </c>
      <c r="T163" t="s">
        <v>29</v>
      </c>
      <c r="U163" t="s">
        <v>30</v>
      </c>
    </row>
    <row r="164" spans="1:21" x14ac:dyDescent="0.25">
      <c r="A164">
        <v>163</v>
      </c>
      <c r="B164" t="s">
        <v>369</v>
      </c>
      <c r="C164">
        <v>214800</v>
      </c>
      <c r="D164" t="s">
        <v>18</v>
      </c>
      <c r="E164">
        <v>64</v>
      </c>
      <c r="F164" t="str">
        <f t="shared" si="4"/>
        <v>senior</v>
      </c>
      <c r="G164" t="s">
        <v>19</v>
      </c>
      <c r="H164" t="str">
        <f t="shared" si="5"/>
        <v>Dec</v>
      </c>
      <c r="I164" t="s">
        <v>20</v>
      </c>
      <c r="J164" t="s">
        <v>45</v>
      </c>
      <c r="K164" t="s">
        <v>370</v>
      </c>
      <c r="L164" t="s">
        <v>23</v>
      </c>
      <c r="M164" t="s">
        <v>50</v>
      </c>
      <c r="N164">
        <v>1</v>
      </c>
      <c r="O164" t="s">
        <v>25</v>
      </c>
      <c r="P164">
        <v>960</v>
      </c>
      <c r="Q164" t="s">
        <v>26</v>
      </c>
      <c r="R164" t="s">
        <v>27</v>
      </c>
      <c r="S164" t="s">
        <v>28</v>
      </c>
      <c r="T164" t="s">
        <v>29</v>
      </c>
      <c r="U164" t="s">
        <v>30</v>
      </c>
    </row>
    <row r="165" spans="1:21" x14ac:dyDescent="0.25">
      <c r="A165">
        <v>164</v>
      </c>
      <c r="B165" t="s">
        <v>371</v>
      </c>
      <c r="C165">
        <v>172442</v>
      </c>
      <c r="D165" t="s">
        <v>32</v>
      </c>
      <c r="E165">
        <v>64</v>
      </c>
      <c r="F165" t="str">
        <f t="shared" si="4"/>
        <v>senior</v>
      </c>
      <c r="G165" t="s">
        <v>19</v>
      </c>
      <c r="H165" t="str">
        <f t="shared" si="5"/>
        <v>Dec</v>
      </c>
      <c r="I165" t="s">
        <v>20</v>
      </c>
      <c r="J165" t="s">
        <v>40</v>
      </c>
      <c r="K165" t="s">
        <v>372</v>
      </c>
      <c r="L165" t="s">
        <v>58</v>
      </c>
      <c r="M165" t="s">
        <v>76</v>
      </c>
      <c r="N165">
        <v>1</v>
      </c>
      <c r="O165" t="s">
        <v>25</v>
      </c>
      <c r="P165">
        <v>758</v>
      </c>
      <c r="Q165" t="s">
        <v>36</v>
      </c>
      <c r="R165" t="s">
        <v>37</v>
      </c>
      <c r="S165" t="s">
        <v>38</v>
      </c>
      <c r="T165" t="s">
        <v>29</v>
      </c>
      <c r="U165" t="s">
        <v>43</v>
      </c>
    </row>
    <row r="166" spans="1:21" x14ac:dyDescent="0.25">
      <c r="A166">
        <v>165</v>
      </c>
      <c r="B166" t="s">
        <v>373</v>
      </c>
      <c r="C166">
        <v>195164</v>
      </c>
      <c r="D166" t="s">
        <v>18</v>
      </c>
      <c r="E166">
        <v>39</v>
      </c>
      <c r="F166" t="str">
        <f t="shared" si="4"/>
        <v>adult</v>
      </c>
      <c r="G166" t="s">
        <v>19</v>
      </c>
      <c r="H166" t="str">
        <f t="shared" si="5"/>
        <v>Dec</v>
      </c>
      <c r="I166" t="s">
        <v>20</v>
      </c>
      <c r="J166" t="s">
        <v>33</v>
      </c>
      <c r="K166" t="s">
        <v>374</v>
      </c>
      <c r="L166" t="s">
        <v>42</v>
      </c>
      <c r="M166" t="s">
        <v>35</v>
      </c>
      <c r="N166">
        <v>1</v>
      </c>
      <c r="O166" t="s">
        <v>25</v>
      </c>
      <c r="P166">
        <v>348</v>
      </c>
      <c r="Q166" t="s">
        <v>63</v>
      </c>
      <c r="R166" t="s">
        <v>64</v>
      </c>
      <c r="S166" t="s">
        <v>65</v>
      </c>
      <c r="T166" t="s">
        <v>29</v>
      </c>
      <c r="U166" t="s">
        <v>30</v>
      </c>
    </row>
    <row r="167" spans="1:21" x14ac:dyDescent="0.25">
      <c r="A167">
        <v>166</v>
      </c>
      <c r="B167" t="s">
        <v>375</v>
      </c>
      <c r="C167">
        <v>429611</v>
      </c>
      <c r="D167" t="s">
        <v>32</v>
      </c>
      <c r="E167">
        <v>59</v>
      </c>
      <c r="F167" t="str">
        <f t="shared" si="4"/>
        <v>senior</v>
      </c>
      <c r="G167" t="s">
        <v>19</v>
      </c>
      <c r="H167" t="str">
        <f t="shared" si="5"/>
        <v>Dec</v>
      </c>
      <c r="I167" t="s">
        <v>20</v>
      </c>
      <c r="J167" t="s">
        <v>45</v>
      </c>
      <c r="K167" t="s">
        <v>376</v>
      </c>
      <c r="L167" t="s">
        <v>42</v>
      </c>
      <c r="M167" t="s">
        <v>35</v>
      </c>
      <c r="N167">
        <v>1</v>
      </c>
      <c r="O167" t="s">
        <v>25</v>
      </c>
      <c r="P167">
        <v>590</v>
      </c>
      <c r="Q167" t="s">
        <v>26</v>
      </c>
      <c r="R167" t="s">
        <v>27</v>
      </c>
      <c r="S167" t="s">
        <v>28</v>
      </c>
      <c r="T167" t="s">
        <v>29</v>
      </c>
      <c r="U167" t="s">
        <v>43</v>
      </c>
    </row>
    <row r="168" spans="1:21" x14ac:dyDescent="0.25">
      <c r="A168">
        <v>167</v>
      </c>
      <c r="B168" t="s">
        <v>377</v>
      </c>
      <c r="C168">
        <v>925352</v>
      </c>
      <c r="D168" t="s">
        <v>18</v>
      </c>
      <c r="E168">
        <v>58</v>
      </c>
      <c r="F168" t="str">
        <f t="shared" si="4"/>
        <v>senior</v>
      </c>
      <c r="G168" t="s">
        <v>19</v>
      </c>
      <c r="H168" t="str">
        <f t="shared" si="5"/>
        <v>Dec</v>
      </c>
      <c r="I168" t="s">
        <v>20</v>
      </c>
      <c r="J168" t="s">
        <v>33</v>
      </c>
      <c r="K168" t="s">
        <v>378</v>
      </c>
      <c r="L168" t="s">
        <v>58</v>
      </c>
      <c r="M168" t="s">
        <v>50</v>
      </c>
      <c r="N168">
        <v>1</v>
      </c>
      <c r="O168" t="s">
        <v>25</v>
      </c>
      <c r="P168">
        <v>1876</v>
      </c>
      <c r="Q168" t="s">
        <v>63</v>
      </c>
      <c r="R168" t="s">
        <v>64</v>
      </c>
      <c r="S168" t="s">
        <v>65</v>
      </c>
      <c r="T168" t="s">
        <v>29</v>
      </c>
      <c r="U168" t="s">
        <v>43</v>
      </c>
    </row>
    <row r="169" spans="1:21" x14ac:dyDescent="0.25">
      <c r="A169">
        <v>168</v>
      </c>
      <c r="B169" t="s">
        <v>379</v>
      </c>
      <c r="C169">
        <v>793518</v>
      </c>
      <c r="D169" t="s">
        <v>32</v>
      </c>
      <c r="E169">
        <v>18</v>
      </c>
      <c r="F169" t="str">
        <f t="shared" si="4"/>
        <v>teenager</v>
      </c>
      <c r="G169" t="s">
        <v>19</v>
      </c>
      <c r="H169" t="str">
        <f t="shared" si="5"/>
        <v>Dec</v>
      </c>
      <c r="I169" t="s">
        <v>20</v>
      </c>
      <c r="J169" t="s">
        <v>21</v>
      </c>
      <c r="K169" t="s">
        <v>380</v>
      </c>
      <c r="L169" t="s">
        <v>42</v>
      </c>
      <c r="M169" t="s">
        <v>47</v>
      </c>
      <c r="N169">
        <v>1</v>
      </c>
      <c r="O169" t="s">
        <v>25</v>
      </c>
      <c r="P169">
        <v>848</v>
      </c>
      <c r="Q169" t="s">
        <v>26</v>
      </c>
      <c r="R169" t="s">
        <v>27</v>
      </c>
      <c r="S169" t="s">
        <v>28</v>
      </c>
      <c r="T169" t="s">
        <v>29</v>
      </c>
      <c r="U169" t="s">
        <v>43</v>
      </c>
    </row>
    <row r="170" spans="1:21" x14ac:dyDescent="0.25">
      <c r="A170">
        <v>169</v>
      </c>
      <c r="B170" t="s">
        <v>381</v>
      </c>
      <c r="C170">
        <v>779359</v>
      </c>
      <c r="D170" t="s">
        <v>18</v>
      </c>
      <c r="E170">
        <v>42</v>
      </c>
      <c r="F170" t="str">
        <f t="shared" si="4"/>
        <v>adult</v>
      </c>
      <c r="G170" t="s">
        <v>19</v>
      </c>
      <c r="H170" t="str">
        <f t="shared" si="5"/>
        <v>Dec</v>
      </c>
      <c r="I170" t="s">
        <v>20</v>
      </c>
      <c r="J170" t="s">
        <v>45</v>
      </c>
      <c r="K170" t="s">
        <v>382</v>
      </c>
      <c r="L170" t="s">
        <v>42</v>
      </c>
      <c r="M170" t="s">
        <v>47</v>
      </c>
      <c r="N170">
        <v>1</v>
      </c>
      <c r="O170" t="s">
        <v>25</v>
      </c>
      <c r="P170">
        <v>1244</v>
      </c>
      <c r="Q170" t="s">
        <v>26</v>
      </c>
      <c r="R170" t="s">
        <v>27</v>
      </c>
      <c r="S170" t="s">
        <v>28</v>
      </c>
      <c r="T170" t="s">
        <v>29</v>
      </c>
      <c r="U170" t="s">
        <v>30</v>
      </c>
    </row>
    <row r="171" spans="1:21" x14ac:dyDescent="0.25">
      <c r="A171">
        <v>170</v>
      </c>
      <c r="B171" t="s">
        <v>383</v>
      </c>
      <c r="C171">
        <v>671614</v>
      </c>
      <c r="D171" t="s">
        <v>32</v>
      </c>
      <c r="E171">
        <v>33</v>
      </c>
      <c r="F171" t="str">
        <f t="shared" si="4"/>
        <v>adult</v>
      </c>
      <c r="G171" t="s">
        <v>19</v>
      </c>
      <c r="H171" t="str">
        <f t="shared" si="5"/>
        <v>Dec</v>
      </c>
      <c r="I171" t="s">
        <v>20</v>
      </c>
      <c r="J171" t="s">
        <v>21</v>
      </c>
      <c r="K171" t="s">
        <v>384</v>
      </c>
      <c r="L171" t="s">
        <v>58</v>
      </c>
      <c r="M171" t="s">
        <v>47</v>
      </c>
      <c r="N171">
        <v>1</v>
      </c>
      <c r="O171" t="s">
        <v>25</v>
      </c>
      <c r="P171">
        <v>381</v>
      </c>
      <c r="Q171" t="s">
        <v>36</v>
      </c>
      <c r="R171" t="s">
        <v>37</v>
      </c>
      <c r="S171" t="s">
        <v>38</v>
      </c>
      <c r="T171" t="s">
        <v>29</v>
      </c>
      <c r="U171" t="s">
        <v>30</v>
      </c>
    </row>
    <row r="172" spans="1:21" x14ac:dyDescent="0.25">
      <c r="A172">
        <v>171</v>
      </c>
      <c r="B172" t="s">
        <v>385</v>
      </c>
      <c r="C172">
        <v>633995</v>
      </c>
      <c r="D172" t="s">
        <v>18</v>
      </c>
      <c r="E172">
        <v>63</v>
      </c>
      <c r="F172" t="str">
        <f t="shared" si="4"/>
        <v>senior</v>
      </c>
      <c r="G172" t="s">
        <v>19</v>
      </c>
      <c r="H172" t="str">
        <f t="shared" si="5"/>
        <v>Dec</v>
      </c>
      <c r="I172" t="s">
        <v>20</v>
      </c>
      <c r="J172" t="s">
        <v>21</v>
      </c>
      <c r="K172" t="s">
        <v>194</v>
      </c>
      <c r="L172" t="s">
        <v>23</v>
      </c>
      <c r="M172" t="s">
        <v>76</v>
      </c>
      <c r="N172">
        <v>1</v>
      </c>
      <c r="O172" t="s">
        <v>25</v>
      </c>
      <c r="P172">
        <v>305</v>
      </c>
      <c r="Q172" t="s">
        <v>53</v>
      </c>
      <c r="R172" t="s">
        <v>54</v>
      </c>
      <c r="S172" t="s">
        <v>55</v>
      </c>
      <c r="T172" t="s">
        <v>29</v>
      </c>
      <c r="U172" t="s">
        <v>30</v>
      </c>
    </row>
    <row r="173" spans="1:21" x14ac:dyDescent="0.25">
      <c r="A173">
        <v>172</v>
      </c>
      <c r="B173" t="s">
        <v>386</v>
      </c>
      <c r="C173">
        <v>468517</v>
      </c>
      <c r="D173" t="s">
        <v>32</v>
      </c>
      <c r="E173">
        <v>43</v>
      </c>
      <c r="F173" t="str">
        <f t="shared" si="4"/>
        <v>adult</v>
      </c>
      <c r="G173" t="s">
        <v>19</v>
      </c>
      <c r="H173" t="str">
        <f t="shared" si="5"/>
        <v>Dec</v>
      </c>
      <c r="I173" t="s">
        <v>20</v>
      </c>
      <c r="J173" t="s">
        <v>45</v>
      </c>
      <c r="K173" t="s">
        <v>387</v>
      </c>
      <c r="L173" t="s">
        <v>42</v>
      </c>
      <c r="M173" t="s">
        <v>76</v>
      </c>
      <c r="N173">
        <v>1</v>
      </c>
      <c r="O173" t="s">
        <v>25</v>
      </c>
      <c r="P173">
        <v>376</v>
      </c>
      <c r="Q173" t="s">
        <v>26</v>
      </c>
      <c r="R173" t="s">
        <v>27</v>
      </c>
      <c r="S173" t="s">
        <v>28</v>
      </c>
      <c r="T173" t="s">
        <v>29</v>
      </c>
      <c r="U173" t="s">
        <v>30</v>
      </c>
    </row>
    <row r="174" spans="1:21" x14ac:dyDescent="0.25">
      <c r="A174">
        <v>173</v>
      </c>
      <c r="B174" t="s">
        <v>388</v>
      </c>
      <c r="C174">
        <v>725929</v>
      </c>
      <c r="D174" t="s">
        <v>18</v>
      </c>
      <c r="E174">
        <v>18</v>
      </c>
      <c r="F174" t="str">
        <f t="shared" si="4"/>
        <v>teenager</v>
      </c>
      <c r="G174" t="s">
        <v>19</v>
      </c>
      <c r="H174" t="str">
        <f t="shared" si="5"/>
        <v>Dec</v>
      </c>
      <c r="I174" t="s">
        <v>20</v>
      </c>
      <c r="J174" t="s">
        <v>40</v>
      </c>
      <c r="K174" t="s">
        <v>389</v>
      </c>
      <c r="L174" t="s">
        <v>23</v>
      </c>
      <c r="M174" t="s">
        <v>24</v>
      </c>
      <c r="N174">
        <v>1</v>
      </c>
      <c r="O174" t="s">
        <v>25</v>
      </c>
      <c r="P174">
        <v>1258</v>
      </c>
      <c r="Q174" t="s">
        <v>63</v>
      </c>
      <c r="R174" t="s">
        <v>64</v>
      </c>
      <c r="S174" t="s">
        <v>65</v>
      </c>
      <c r="T174" t="s">
        <v>29</v>
      </c>
      <c r="U174" t="s">
        <v>43</v>
      </c>
    </row>
    <row r="175" spans="1:21" x14ac:dyDescent="0.25">
      <c r="A175">
        <v>174</v>
      </c>
      <c r="B175" t="s">
        <v>390</v>
      </c>
      <c r="C175">
        <v>492482</v>
      </c>
      <c r="D175" t="s">
        <v>32</v>
      </c>
      <c r="E175">
        <v>62</v>
      </c>
      <c r="F175" t="str">
        <f t="shared" si="4"/>
        <v>senior</v>
      </c>
      <c r="G175" t="s">
        <v>19</v>
      </c>
      <c r="H175" t="str">
        <f t="shared" si="5"/>
        <v>Dec</v>
      </c>
      <c r="I175" t="s">
        <v>20</v>
      </c>
      <c r="J175" t="s">
        <v>21</v>
      </c>
      <c r="K175" t="s">
        <v>391</v>
      </c>
      <c r="L175" t="s">
        <v>58</v>
      </c>
      <c r="M175" t="s">
        <v>50</v>
      </c>
      <c r="N175">
        <v>1</v>
      </c>
      <c r="O175" t="s">
        <v>25</v>
      </c>
      <c r="P175">
        <v>795</v>
      </c>
      <c r="Q175" t="s">
        <v>63</v>
      </c>
      <c r="R175" t="s">
        <v>64</v>
      </c>
      <c r="S175" t="s">
        <v>65</v>
      </c>
      <c r="T175" t="s">
        <v>29</v>
      </c>
      <c r="U175" t="s">
        <v>30</v>
      </c>
    </row>
    <row r="176" spans="1:21" x14ac:dyDescent="0.25">
      <c r="A176">
        <v>175</v>
      </c>
      <c r="B176" t="s">
        <v>392</v>
      </c>
      <c r="C176">
        <v>219492</v>
      </c>
      <c r="D176" t="s">
        <v>18</v>
      </c>
      <c r="E176">
        <v>57</v>
      </c>
      <c r="F176" t="str">
        <f t="shared" si="4"/>
        <v>senior</v>
      </c>
      <c r="G176" t="s">
        <v>19</v>
      </c>
      <c r="H176" t="str">
        <f t="shared" si="5"/>
        <v>Dec</v>
      </c>
      <c r="I176" t="s">
        <v>20</v>
      </c>
      <c r="J176" t="s">
        <v>33</v>
      </c>
      <c r="K176" t="s">
        <v>393</v>
      </c>
      <c r="L176" t="s">
        <v>42</v>
      </c>
      <c r="M176" t="s">
        <v>24</v>
      </c>
      <c r="N176">
        <v>1</v>
      </c>
      <c r="O176" t="s">
        <v>25</v>
      </c>
      <c r="P176">
        <v>1449</v>
      </c>
      <c r="Q176" t="s">
        <v>63</v>
      </c>
      <c r="R176" t="s">
        <v>64</v>
      </c>
      <c r="S176" t="s">
        <v>65</v>
      </c>
      <c r="T176" t="s">
        <v>29</v>
      </c>
      <c r="U176" t="s">
        <v>30</v>
      </c>
    </row>
    <row r="177" spans="1:21" x14ac:dyDescent="0.25">
      <c r="A177">
        <v>176</v>
      </c>
      <c r="B177" t="s">
        <v>394</v>
      </c>
      <c r="C177">
        <v>232460</v>
      </c>
      <c r="D177" t="s">
        <v>32</v>
      </c>
      <c r="E177">
        <v>57</v>
      </c>
      <c r="F177" t="str">
        <f t="shared" si="4"/>
        <v>senior</v>
      </c>
      <c r="G177" t="s">
        <v>19</v>
      </c>
      <c r="H177" t="str">
        <f t="shared" si="5"/>
        <v>Dec</v>
      </c>
      <c r="I177" t="s">
        <v>20</v>
      </c>
      <c r="J177" t="s">
        <v>40</v>
      </c>
      <c r="K177" t="s">
        <v>395</v>
      </c>
      <c r="L177" t="s">
        <v>23</v>
      </c>
      <c r="M177" t="s">
        <v>47</v>
      </c>
      <c r="N177">
        <v>1</v>
      </c>
      <c r="O177" t="s">
        <v>25</v>
      </c>
      <c r="P177">
        <v>1638</v>
      </c>
      <c r="Q177" t="s">
        <v>26</v>
      </c>
      <c r="R177" t="s">
        <v>27</v>
      </c>
      <c r="S177" t="s">
        <v>28</v>
      </c>
      <c r="T177" t="s">
        <v>29</v>
      </c>
      <c r="U177" t="s">
        <v>30</v>
      </c>
    </row>
    <row r="178" spans="1:21" x14ac:dyDescent="0.25">
      <c r="A178">
        <v>177</v>
      </c>
      <c r="B178" t="s">
        <v>396</v>
      </c>
      <c r="C178">
        <v>817364</v>
      </c>
      <c r="D178" t="s">
        <v>18</v>
      </c>
      <c r="E178">
        <v>26</v>
      </c>
      <c r="F178" t="str">
        <f t="shared" si="4"/>
        <v>teenager</v>
      </c>
      <c r="G178" t="s">
        <v>19</v>
      </c>
      <c r="H178" t="str">
        <f t="shared" si="5"/>
        <v>Dec</v>
      </c>
      <c r="I178" t="s">
        <v>20</v>
      </c>
      <c r="J178" t="s">
        <v>21</v>
      </c>
      <c r="K178" t="s">
        <v>397</v>
      </c>
      <c r="L178" t="s">
        <v>42</v>
      </c>
      <c r="M178" t="s">
        <v>50</v>
      </c>
      <c r="N178">
        <v>1</v>
      </c>
      <c r="O178" t="s">
        <v>25</v>
      </c>
      <c r="P178">
        <v>488</v>
      </c>
      <c r="Q178" t="s">
        <v>26</v>
      </c>
      <c r="R178" t="s">
        <v>27</v>
      </c>
      <c r="S178" t="s">
        <v>28</v>
      </c>
      <c r="T178" t="s">
        <v>29</v>
      </c>
      <c r="U178" t="s">
        <v>30</v>
      </c>
    </row>
    <row r="179" spans="1:21" x14ac:dyDescent="0.25">
      <c r="A179">
        <v>178</v>
      </c>
      <c r="B179" t="s">
        <v>398</v>
      </c>
      <c r="C179">
        <v>761668</v>
      </c>
      <c r="D179" t="s">
        <v>32</v>
      </c>
      <c r="E179">
        <v>70</v>
      </c>
      <c r="F179" t="str">
        <f t="shared" si="4"/>
        <v>senior</v>
      </c>
      <c r="G179" t="s">
        <v>19</v>
      </c>
      <c r="H179" t="str">
        <f t="shared" si="5"/>
        <v>Dec</v>
      </c>
      <c r="I179" t="s">
        <v>20</v>
      </c>
      <c r="J179" t="s">
        <v>33</v>
      </c>
      <c r="K179" t="s">
        <v>399</v>
      </c>
      <c r="L179" t="s">
        <v>58</v>
      </c>
      <c r="M179" t="s">
        <v>47</v>
      </c>
      <c r="N179">
        <v>1</v>
      </c>
      <c r="O179" t="s">
        <v>25</v>
      </c>
      <c r="P179">
        <v>1965</v>
      </c>
      <c r="Q179" t="s">
        <v>36</v>
      </c>
      <c r="R179" t="s">
        <v>37</v>
      </c>
      <c r="S179" t="s">
        <v>38</v>
      </c>
      <c r="T179" t="s">
        <v>29</v>
      </c>
      <c r="U179" t="s">
        <v>30</v>
      </c>
    </row>
    <row r="180" spans="1:21" x14ac:dyDescent="0.25">
      <c r="A180">
        <v>179</v>
      </c>
      <c r="B180" t="s">
        <v>400</v>
      </c>
      <c r="C180">
        <v>397750</v>
      </c>
      <c r="D180" t="s">
        <v>18</v>
      </c>
      <c r="E180">
        <v>53</v>
      </c>
      <c r="F180" t="str">
        <f t="shared" si="4"/>
        <v>senior</v>
      </c>
      <c r="G180" t="s">
        <v>19</v>
      </c>
      <c r="H180" t="str">
        <f t="shared" si="5"/>
        <v>Dec</v>
      </c>
      <c r="I180" t="s">
        <v>20</v>
      </c>
      <c r="J180" t="s">
        <v>45</v>
      </c>
      <c r="K180" t="s">
        <v>401</v>
      </c>
      <c r="L180" t="s">
        <v>58</v>
      </c>
      <c r="M180" t="s">
        <v>50</v>
      </c>
      <c r="N180">
        <v>1</v>
      </c>
      <c r="O180" t="s">
        <v>25</v>
      </c>
      <c r="P180">
        <v>1839</v>
      </c>
      <c r="Q180" t="s">
        <v>26</v>
      </c>
      <c r="R180" t="s">
        <v>27</v>
      </c>
      <c r="S180" t="s">
        <v>28</v>
      </c>
      <c r="T180" t="s">
        <v>29</v>
      </c>
      <c r="U180" t="s">
        <v>43</v>
      </c>
    </row>
    <row r="181" spans="1:21" x14ac:dyDescent="0.25">
      <c r="A181">
        <v>180</v>
      </c>
      <c r="B181" t="s">
        <v>402</v>
      </c>
      <c r="C181">
        <v>192980</v>
      </c>
      <c r="D181" t="s">
        <v>32</v>
      </c>
      <c r="E181">
        <v>33</v>
      </c>
      <c r="F181" t="str">
        <f t="shared" si="4"/>
        <v>adult</v>
      </c>
      <c r="G181" t="s">
        <v>19</v>
      </c>
      <c r="H181" t="str">
        <f t="shared" si="5"/>
        <v>Dec</v>
      </c>
      <c r="I181" t="s">
        <v>20</v>
      </c>
      <c r="J181" t="s">
        <v>21</v>
      </c>
      <c r="K181" t="s">
        <v>403</v>
      </c>
      <c r="L181" t="s">
        <v>42</v>
      </c>
      <c r="M181" t="s">
        <v>50</v>
      </c>
      <c r="N181">
        <v>1</v>
      </c>
      <c r="O181" t="s">
        <v>25</v>
      </c>
      <c r="P181">
        <v>1529</v>
      </c>
      <c r="Q181" t="s">
        <v>26</v>
      </c>
      <c r="R181" t="s">
        <v>27</v>
      </c>
      <c r="S181" t="s">
        <v>28</v>
      </c>
      <c r="T181" t="s">
        <v>29</v>
      </c>
      <c r="U181" t="s">
        <v>30</v>
      </c>
    </row>
    <row r="182" spans="1:21" x14ac:dyDescent="0.25">
      <c r="A182">
        <v>181</v>
      </c>
      <c r="B182" t="s">
        <v>404</v>
      </c>
      <c r="C182">
        <v>155268</v>
      </c>
      <c r="D182" t="s">
        <v>18</v>
      </c>
      <c r="E182">
        <v>34</v>
      </c>
      <c r="F182" t="str">
        <f t="shared" si="4"/>
        <v>adult</v>
      </c>
      <c r="G182" t="s">
        <v>19</v>
      </c>
      <c r="H182" t="str">
        <f t="shared" si="5"/>
        <v>Dec</v>
      </c>
      <c r="I182" t="s">
        <v>20</v>
      </c>
      <c r="J182" t="s">
        <v>40</v>
      </c>
      <c r="K182" t="s">
        <v>405</v>
      </c>
      <c r="L182" t="s">
        <v>58</v>
      </c>
      <c r="M182" t="s">
        <v>76</v>
      </c>
      <c r="N182">
        <v>1</v>
      </c>
      <c r="O182" t="s">
        <v>25</v>
      </c>
      <c r="P182">
        <v>557</v>
      </c>
      <c r="Q182" t="s">
        <v>36</v>
      </c>
      <c r="R182" t="s">
        <v>37</v>
      </c>
      <c r="S182" t="s">
        <v>38</v>
      </c>
      <c r="T182" t="s">
        <v>29</v>
      </c>
      <c r="U182" t="s">
        <v>30</v>
      </c>
    </row>
    <row r="183" spans="1:21" x14ac:dyDescent="0.25">
      <c r="A183">
        <v>182</v>
      </c>
      <c r="B183" t="s">
        <v>406</v>
      </c>
      <c r="C183">
        <v>545633</v>
      </c>
      <c r="D183" t="s">
        <v>32</v>
      </c>
      <c r="E183">
        <v>37</v>
      </c>
      <c r="F183" t="str">
        <f t="shared" si="4"/>
        <v>adult</v>
      </c>
      <c r="G183" t="s">
        <v>19</v>
      </c>
      <c r="H183" t="str">
        <f t="shared" si="5"/>
        <v>Dec</v>
      </c>
      <c r="I183" t="s">
        <v>20</v>
      </c>
      <c r="J183" t="s">
        <v>21</v>
      </c>
      <c r="K183" t="s">
        <v>407</v>
      </c>
      <c r="L183" t="s">
        <v>42</v>
      </c>
      <c r="M183" t="s">
        <v>35</v>
      </c>
      <c r="N183">
        <v>1</v>
      </c>
      <c r="O183" t="s">
        <v>25</v>
      </c>
      <c r="P183">
        <v>1325</v>
      </c>
      <c r="Q183" t="s">
        <v>26</v>
      </c>
      <c r="R183" t="s">
        <v>27</v>
      </c>
      <c r="S183" t="s">
        <v>28</v>
      </c>
      <c r="T183" t="s">
        <v>29</v>
      </c>
      <c r="U183" t="s">
        <v>30</v>
      </c>
    </row>
    <row r="184" spans="1:21" x14ac:dyDescent="0.25">
      <c r="A184">
        <v>183</v>
      </c>
      <c r="B184" t="s">
        <v>408</v>
      </c>
      <c r="C184">
        <v>999096</v>
      </c>
      <c r="D184" t="s">
        <v>18</v>
      </c>
      <c r="E184">
        <v>20</v>
      </c>
      <c r="F184" t="str">
        <f t="shared" si="4"/>
        <v>teenager</v>
      </c>
      <c r="G184" t="s">
        <v>19</v>
      </c>
      <c r="H184" t="str">
        <f t="shared" si="5"/>
        <v>Dec</v>
      </c>
      <c r="I184" t="s">
        <v>20</v>
      </c>
      <c r="J184" t="s">
        <v>40</v>
      </c>
      <c r="K184" t="s">
        <v>409</v>
      </c>
      <c r="L184" t="s">
        <v>23</v>
      </c>
      <c r="M184" t="s">
        <v>35</v>
      </c>
      <c r="N184">
        <v>1</v>
      </c>
      <c r="O184" t="s">
        <v>25</v>
      </c>
      <c r="P184">
        <v>1766</v>
      </c>
      <c r="Q184" t="s">
        <v>53</v>
      </c>
      <c r="R184" t="s">
        <v>54</v>
      </c>
      <c r="S184" t="s">
        <v>55</v>
      </c>
      <c r="T184" t="s">
        <v>29</v>
      </c>
      <c r="U184" t="s">
        <v>30</v>
      </c>
    </row>
    <row r="185" spans="1:21" x14ac:dyDescent="0.25">
      <c r="A185">
        <v>184</v>
      </c>
      <c r="B185" t="s">
        <v>410</v>
      </c>
      <c r="C185">
        <v>789360</v>
      </c>
      <c r="D185" t="s">
        <v>32</v>
      </c>
      <c r="E185">
        <v>33</v>
      </c>
      <c r="F185" t="str">
        <f t="shared" si="4"/>
        <v>adult</v>
      </c>
      <c r="G185" t="s">
        <v>19</v>
      </c>
      <c r="H185" t="str">
        <f t="shared" si="5"/>
        <v>Dec</v>
      </c>
      <c r="I185" t="s">
        <v>20</v>
      </c>
      <c r="J185" t="s">
        <v>21</v>
      </c>
      <c r="K185" t="s">
        <v>411</v>
      </c>
      <c r="L185" t="s">
        <v>42</v>
      </c>
      <c r="M185" t="s">
        <v>47</v>
      </c>
      <c r="N185">
        <v>1</v>
      </c>
      <c r="O185" t="s">
        <v>25</v>
      </c>
      <c r="P185">
        <v>1695</v>
      </c>
      <c r="Q185" t="s">
        <v>53</v>
      </c>
      <c r="R185" t="s">
        <v>54</v>
      </c>
      <c r="S185" t="s">
        <v>55</v>
      </c>
      <c r="T185" t="s">
        <v>29</v>
      </c>
      <c r="U185" t="s">
        <v>43</v>
      </c>
    </row>
    <row r="186" spans="1:21" x14ac:dyDescent="0.25">
      <c r="A186">
        <v>185</v>
      </c>
      <c r="B186" t="s">
        <v>412</v>
      </c>
      <c r="C186">
        <v>452125</v>
      </c>
      <c r="D186" t="s">
        <v>18</v>
      </c>
      <c r="E186">
        <v>18</v>
      </c>
      <c r="F186" t="str">
        <f t="shared" si="4"/>
        <v>teenager</v>
      </c>
      <c r="G186" t="s">
        <v>19</v>
      </c>
      <c r="H186" t="str">
        <f t="shared" si="5"/>
        <v>Dec</v>
      </c>
      <c r="I186" t="s">
        <v>20</v>
      </c>
      <c r="J186" t="s">
        <v>45</v>
      </c>
      <c r="K186" t="s">
        <v>413</v>
      </c>
      <c r="L186" t="s">
        <v>58</v>
      </c>
      <c r="M186" t="s">
        <v>47</v>
      </c>
      <c r="N186">
        <v>1</v>
      </c>
      <c r="O186" t="s">
        <v>25</v>
      </c>
      <c r="P186">
        <v>654</v>
      </c>
      <c r="Q186" t="s">
        <v>63</v>
      </c>
      <c r="R186" t="s">
        <v>64</v>
      </c>
      <c r="S186" t="s">
        <v>65</v>
      </c>
      <c r="T186" t="s">
        <v>29</v>
      </c>
      <c r="U186" t="s">
        <v>43</v>
      </c>
    </row>
    <row r="187" spans="1:21" x14ac:dyDescent="0.25">
      <c r="A187">
        <v>186</v>
      </c>
      <c r="B187" t="s">
        <v>414</v>
      </c>
      <c r="C187">
        <v>860006</v>
      </c>
      <c r="D187" t="s">
        <v>32</v>
      </c>
      <c r="E187">
        <v>65</v>
      </c>
      <c r="F187" t="str">
        <f t="shared" si="4"/>
        <v>senior</v>
      </c>
      <c r="G187" t="s">
        <v>19</v>
      </c>
      <c r="H187" t="str">
        <f t="shared" si="5"/>
        <v>Dec</v>
      </c>
      <c r="I187" t="s">
        <v>20</v>
      </c>
      <c r="J187" t="s">
        <v>33</v>
      </c>
      <c r="K187" t="s">
        <v>415</v>
      </c>
      <c r="L187" t="s">
        <v>23</v>
      </c>
      <c r="M187" t="s">
        <v>47</v>
      </c>
      <c r="N187">
        <v>1</v>
      </c>
      <c r="O187" t="s">
        <v>25</v>
      </c>
      <c r="P187">
        <v>1966</v>
      </c>
      <c r="Q187" t="s">
        <v>63</v>
      </c>
      <c r="R187" t="s">
        <v>64</v>
      </c>
      <c r="S187" t="s">
        <v>65</v>
      </c>
      <c r="T187" t="s">
        <v>29</v>
      </c>
      <c r="U187" t="s">
        <v>30</v>
      </c>
    </row>
    <row r="188" spans="1:21" x14ac:dyDescent="0.25">
      <c r="A188">
        <v>187</v>
      </c>
      <c r="B188" t="s">
        <v>416</v>
      </c>
      <c r="C188">
        <v>754105</v>
      </c>
      <c r="D188" t="s">
        <v>18</v>
      </c>
      <c r="E188">
        <v>42</v>
      </c>
      <c r="F188" t="str">
        <f t="shared" si="4"/>
        <v>adult</v>
      </c>
      <c r="G188" t="s">
        <v>19</v>
      </c>
      <c r="H188" t="str">
        <f t="shared" si="5"/>
        <v>Dec</v>
      </c>
      <c r="I188" t="s">
        <v>20</v>
      </c>
      <c r="J188" t="s">
        <v>40</v>
      </c>
      <c r="K188" t="s">
        <v>417</v>
      </c>
      <c r="L188" t="s">
        <v>23</v>
      </c>
      <c r="M188" t="s">
        <v>47</v>
      </c>
      <c r="N188">
        <v>1</v>
      </c>
      <c r="O188" t="s">
        <v>25</v>
      </c>
      <c r="P188">
        <v>1986</v>
      </c>
      <c r="Q188" t="s">
        <v>36</v>
      </c>
      <c r="R188" t="s">
        <v>37</v>
      </c>
      <c r="S188" t="s">
        <v>38</v>
      </c>
      <c r="T188" t="s">
        <v>29</v>
      </c>
      <c r="U188" t="s">
        <v>30</v>
      </c>
    </row>
    <row r="189" spans="1:21" x14ac:dyDescent="0.25">
      <c r="A189">
        <v>188</v>
      </c>
      <c r="B189" t="s">
        <v>418</v>
      </c>
      <c r="C189">
        <v>983636</v>
      </c>
      <c r="D189" t="s">
        <v>32</v>
      </c>
      <c r="E189">
        <v>28</v>
      </c>
      <c r="F189" t="str">
        <f t="shared" si="4"/>
        <v>teenager</v>
      </c>
      <c r="G189" t="s">
        <v>19</v>
      </c>
      <c r="H189" t="str">
        <f t="shared" si="5"/>
        <v>Dec</v>
      </c>
      <c r="I189" t="s">
        <v>20</v>
      </c>
      <c r="J189" t="s">
        <v>33</v>
      </c>
      <c r="K189" t="s">
        <v>419</v>
      </c>
      <c r="L189" t="s">
        <v>23</v>
      </c>
      <c r="M189" t="s">
        <v>35</v>
      </c>
      <c r="N189">
        <v>1</v>
      </c>
      <c r="O189" t="s">
        <v>25</v>
      </c>
      <c r="P189">
        <v>539</v>
      </c>
      <c r="Q189" t="s">
        <v>63</v>
      </c>
      <c r="R189" t="s">
        <v>64</v>
      </c>
      <c r="S189" t="s">
        <v>65</v>
      </c>
      <c r="T189" t="s">
        <v>29</v>
      </c>
      <c r="U189" t="s">
        <v>30</v>
      </c>
    </row>
    <row r="190" spans="1:21" x14ac:dyDescent="0.25">
      <c r="A190">
        <v>189</v>
      </c>
      <c r="B190" t="s">
        <v>420</v>
      </c>
      <c r="C190">
        <v>458684</v>
      </c>
      <c r="D190" t="s">
        <v>18</v>
      </c>
      <c r="E190">
        <v>63</v>
      </c>
      <c r="F190" t="str">
        <f t="shared" si="4"/>
        <v>senior</v>
      </c>
      <c r="G190" t="s">
        <v>19</v>
      </c>
      <c r="H190" t="str">
        <f t="shared" si="5"/>
        <v>Dec</v>
      </c>
      <c r="I190" t="s">
        <v>20</v>
      </c>
      <c r="J190" t="s">
        <v>33</v>
      </c>
      <c r="K190" t="s">
        <v>421</v>
      </c>
      <c r="L190" t="s">
        <v>42</v>
      </c>
      <c r="M190" t="s">
        <v>76</v>
      </c>
      <c r="N190">
        <v>1</v>
      </c>
      <c r="O190" t="s">
        <v>25</v>
      </c>
      <c r="P190">
        <v>1743</v>
      </c>
      <c r="Q190" t="s">
        <v>53</v>
      </c>
      <c r="R190" t="s">
        <v>54</v>
      </c>
      <c r="S190" t="s">
        <v>55</v>
      </c>
      <c r="T190" t="s">
        <v>29</v>
      </c>
      <c r="U190" t="s">
        <v>43</v>
      </c>
    </row>
    <row r="191" spans="1:21" x14ac:dyDescent="0.25">
      <c r="A191">
        <v>190</v>
      </c>
      <c r="B191" t="s">
        <v>422</v>
      </c>
      <c r="C191">
        <v>887704</v>
      </c>
      <c r="D191" t="s">
        <v>32</v>
      </c>
      <c r="E191">
        <v>55</v>
      </c>
      <c r="F191" t="str">
        <f t="shared" si="4"/>
        <v>senior</v>
      </c>
      <c r="G191" t="s">
        <v>19</v>
      </c>
      <c r="H191" t="str">
        <f t="shared" si="5"/>
        <v>Dec</v>
      </c>
      <c r="I191" t="s">
        <v>20</v>
      </c>
      <c r="J191" t="s">
        <v>40</v>
      </c>
      <c r="K191" t="s">
        <v>423</v>
      </c>
      <c r="L191" t="s">
        <v>42</v>
      </c>
      <c r="M191" t="s">
        <v>24</v>
      </c>
      <c r="N191">
        <v>1</v>
      </c>
      <c r="O191" t="s">
        <v>25</v>
      </c>
      <c r="P191">
        <v>1904</v>
      </c>
      <c r="Q191" t="s">
        <v>36</v>
      </c>
      <c r="R191" t="s">
        <v>37</v>
      </c>
      <c r="S191" t="s">
        <v>38</v>
      </c>
      <c r="T191" t="s">
        <v>29</v>
      </c>
      <c r="U191" t="s">
        <v>30</v>
      </c>
    </row>
    <row r="192" spans="1:21" x14ac:dyDescent="0.25">
      <c r="A192">
        <v>191</v>
      </c>
      <c r="B192" t="s">
        <v>424</v>
      </c>
      <c r="C192">
        <v>185026</v>
      </c>
      <c r="D192" t="s">
        <v>18</v>
      </c>
      <c r="E192">
        <v>67</v>
      </c>
      <c r="F192" t="str">
        <f t="shared" si="4"/>
        <v>senior</v>
      </c>
      <c r="G192" t="s">
        <v>19</v>
      </c>
      <c r="H192" t="str">
        <f t="shared" si="5"/>
        <v>Dec</v>
      </c>
      <c r="I192" t="s">
        <v>20</v>
      </c>
      <c r="J192" t="s">
        <v>21</v>
      </c>
      <c r="K192" t="s">
        <v>425</v>
      </c>
      <c r="L192" t="s">
        <v>42</v>
      </c>
      <c r="M192" t="s">
        <v>76</v>
      </c>
      <c r="N192">
        <v>1</v>
      </c>
      <c r="O192" t="s">
        <v>25</v>
      </c>
      <c r="P192">
        <v>1272</v>
      </c>
      <c r="Q192" t="s">
        <v>36</v>
      </c>
      <c r="R192" t="s">
        <v>37</v>
      </c>
      <c r="S192" t="s">
        <v>38</v>
      </c>
      <c r="T192" t="s">
        <v>29</v>
      </c>
      <c r="U192" t="s">
        <v>30</v>
      </c>
    </row>
    <row r="193" spans="1:21" x14ac:dyDescent="0.25">
      <c r="A193">
        <v>192</v>
      </c>
      <c r="B193" t="s">
        <v>426</v>
      </c>
      <c r="C193">
        <v>419846</v>
      </c>
      <c r="D193" t="s">
        <v>32</v>
      </c>
      <c r="E193">
        <v>23</v>
      </c>
      <c r="F193" t="str">
        <f t="shared" si="4"/>
        <v>teenager</v>
      </c>
      <c r="G193" t="s">
        <v>19</v>
      </c>
      <c r="H193" t="str">
        <f t="shared" si="5"/>
        <v>Dec</v>
      </c>
      <c r="I193" t="s">
        <v>20</v>
      </c>
      <c r="J193" t="s">
        <v>40</v>
      </c>
      <c r="K193" t="s">
        <v>427</v>
      </c>
      <c r="L193" t="s">
        <v>23</v>
      </c>
      <c r="M193" t="s">
        <v>47</v>
      </c>
      <c r="N193">
        <v>1</v>
      </c>
      <c r="O193" t="s">
        <v>25</v>
      </c>
      <c r="P193">
        <v>1664</v>
      </c>
      <c r="Q193" t="s">
        <v>36</v>
      </c>
      <c r="R193" t="s">
        <v>37</v>
      </c>
      <c r="S193" t="s">
        <v>38</v>
      </c>
      <c r="T193" t="s">
        <v>29</v>
      </c>
      <c r="U193" t="s">
        <v>43</v>
      </c>
    </row>
    <row r="194" spans="1:21" x14ac:dyDescent="0.25">
      <c r="A194">
        <v>193</v>
      </c>
      <c r="B194" t="s">
        <v>428</v>
      </c>
      <c r="C194">
        <v>432549</v>
      </c>
      <c r="D194" t="s">
        <v>18</v>
      </c>
      <c r="E194">
        <v>44</v>
      </c>
      <c r="F194" t="str">
        <f t="shared" si="4"/>
        <v>adult</v>
      </c>
      <c r="G194" t="s">
        <v>19</v>
      </c>
      <c r="H194" t="str">
        <f t="shared" si="5"/>
        <v>Dec</v>
      </c>
      <c r="I194" t="s">
        <v>20</v>
      </c>
      <c r="J194" t="s">
        <v>33</v>
      </c>
      <c r="K194" t="s">
        <v>429</v>
      </c>
      <c r="L194" t="s">
        <v>58</v>
      </c>
      <c r="M194" t="s">
        <v>35</v>
      </c>
      <c r="N194">
        <v>1</v>
      </c>
      <c r="O194" t="s">
        <v>25</v>
      </c>
      <c r="P194">
        <v>1989</v>
      </c>
      <c r="Q194" t="s">
        <v>63</v>
      </c>
      <c r="R194" t="s">
        <v>64</v>
      </c>
      <c r="S194" t="s">
        <v>65</v>
      </c>
      <c r="T194" t="s">
        <v>29</v>
      </c>
      <c r="U194" t="s">
        <v>30</v>
      </c>
    </row>
    <row r="195" spans="1:21" x14ac:dyDescent="0.25">
      <c r="A195">
        <v>194</v>
      </c>
      <c r="B195" t="s">
        <v>430</v>
      </c>
      <c r="C195">
        <v>631088</v>
      </c>
      <c r="D195" t="s">
        <v>32</v>
      </c>
      <c r="E195">
        <v>41</v>
      </c>
      <c r="F195" t="str">
        <f t="shared" ref="F195:F258" si="6">IF(E195&gt;=50,"senior",IF(E195&gt;=30,"adult","teenager"))</f>
        <v>adult</v>
      </c>
      <c r="G195" t="s">
        <v>19</v>
      </c>
      <c r="H195" t="str">
        <f t="shared" ref="H195:H258" si="7">TEXT(G195,"mmm")</f>
        <v>Dec</v>
      </c>
      <c r="I195" t="s">
        <v>20</v>
      </c>
      <c r="J195" t="s">
        <v>21</v>
      </c>
      <c r="K195" t="s">
        <v>431</v>
      </c>
      <c r="L195" t="s">
        <v>58</v>
      </c>
      <c r="M195" t="s">
        <v>50</v>
      </c>
      <c r="N195">
        <v>1</v>
      </c>
      <c r="O195" t="s">
        <v>25</v>
      </c>
      <c r="P195">
        <v>375</v>
      </c>
      <c r="Q195" t="s">
        <v>26</v>
      </c>
      <c r="R195" t="s">
        <v>27</v>
      </c>
      <c r="S195" t="s">
        <v>28</v>
      </c>
      <c r="T195" t="s">
        <v>29</v>
      </c>
      <c r="U195" t="s">
        <v>43</v>
      </c>
    </row>
    <row r="196" spans="1:21" x14ac:dyDescent="0.25">
      <c r="A196">
        <v>195</v>
      </c>
      <c r="B196" t="s">
        <v>432</v>
      </c>
      <c r="C196">
        <v>626577</v>
      </c>
      <c r="D196" t="s">
        <v>18</v>
      </c>
      <c r="E196">
        <v>24</v>
      </c>
      <c r="F196" t="str">
        <f t="shared" si="6"/>
        <v>teenager</v>
      </c>
      <c r="G196" t="s">
        <v>19</v>
      </c>
      <c r="H196" t="str">
        <f t="shared" si="7"/>
        <v>Dec</v>
      </c>
      <c r="I196" t="s">
        <v>20</v>
      </c>
      <c r="J196" t="s">
        <v>21</v>
      </c>
      <c r="K196" t="s">
        <v>433</v>
      </c>
      <c r="L196" t="s">
        <v>42</v>
      </c>
      <c r="M196" t="s">
        <v>24</v>
      </c>
      <c r="N196">
        <v>1</v>
      </c>
      <c r="O196" t="s">
        <v>25</v>
      </c>
      <c r="P196">
        <v>1897</v>
      </c>
      <c r="Q196" t="s">
        <v>63</v>
      </c>
      <c r="R196" t="s">
        <v>64</v>
      </c>
      <c r="S196" t="s">
        <v>65</v>
      </c>
      <c r="T196" t="s">
        <v>29</v>
      </c>
      <c r="U196" t="s">
        <v>30</v>
      </c>
    </row>
    <row r="197" spans="1:21" x14ac:dyDescent="0.25">
      <c r="A197">
        <v>196</v>
      </c>
      <c r="B197" t="s">
        <v>434</v>
      </c>
      <c r="C197">
        <v>782482</v>
      </c>
      <c r="D197" t="s">
        <v>32</v>
      </c>
      <c r="E197">
        <v>56</v>
      </c>
      <c r="F197" t="str">
        <f t="shared" si="6"/>
        <v>senior</v>
      </c>
      <c r="G197" t="s">
        <v>19</v>
      </c>
      <c r="H197" t="str">
        <f t="shared" si="7"/>
        <v>Dec</v>
      </c>
      <c r="I197" t="s">
        <v>20</v>
      </c>
      <c r="J197" t="s">
        <v>21</v>
      </c>
      <c r="K197" t="s">
        <v>435</v>
      </c>
      <c r="L197" t="s">
        <v>42</v>
      </c>
      <c r="M197" t="s">
        <v>47</v>
      </c>
      <c r="N197">
        <v>1</v>
      </c>
      <c r="O197" t="s">
        <v>25</v>
      </c>
      <c r="P197">
        <v>1638</v>
      </c>
      <c r="Q197" t="s">
        <v>36</v>
      </c>
      <c r="R197" t="s">
        <v>37</v>
      </c>
      <c r="S197" t="s">
        <v>38</v>
      </c>
      <c r="T197" t="s">
        <v>29</v>
      </c>
      <c r="U197" t="s">
        <v>43</v>
      </c>
    </row>
    <row r="198" spans="1:21" x14ac:dyDescent="0.25">
      <c r="A198">
        <v>197</v>
      </c>
      <c r="B198" t="s">
        <v>436</v>
      </c>
      <c r="C198">
        <v>271057</v>
      </c>
      <c r="D198" t="s">
        <v>18</v>
      </c>
      <c r="E198">
        <v>30</v>
      </c>
      <c r="F198" t="str">
        <f t="shared" si="6"/>
        <v>adult</v>
      </c>
      <c r="G198" t="s">
        <v>19</v>
      </c>
      <c r="H198" t="str">
        <f t="shared" si="7"/>
        <v>Dec</v>
      </c>
      <c r="I198" t="s">
        <v>20</v>
      </c>
      <c r="J198" t="s">
        <v>45</v>
      </c>
      <c r="K198" t="s">
        <v>437</v>
      </c>
      <c r="L198" t="s">
        <v>23</v>
      </c>
      <c r="M198" t="s">
        <v>24</v>
      </c>
      <c r="N198">
        <v>1</v>
      </c>
      <c r="O198" t="s">
        <v>25</v>
      </c>
      <c r="P198">
        <v>723</v>
      </c>
      <c r="Q198" t="s">
        <v>63</v>
      </c>
      <c r="R198" t="s">
        <v>64</v>
      </c>
      <c r="S198" t="s">
        <v>65</v>
      </c>
      <c r="T198" t="s">
        <v>29</v>
      </c>
      <c r="U198" t="s">
        <v>30</v>
      </c>
    </row>
    <row r="199" spans="1:21" x14ac:dyDescent="0.25">
      <c r="A199">
        <v>198</v>
      </c>
      <c r="B199" t="s">
        <v>438</v>
      </c>
      <c r="C199">
        <v>191548</v>
      </c>
      <c r="D199" t="s">
        <v>32</v>
      </c>
      <c r="E199">
        <v>52</v>
      </c>
      <c r="F199" t="str">
        <f t="shared" si="6"/>
        <v>senior</v>
      </c>
      <c r="G199" t="s">
        <v>19</v>
      </c>
      <c r="H199" t="str">
        <f t="shared" si="7"/>
        <v>Dec</v>
      </c>
      <c r="I199" t="s">
        <v>20</v>
      </c>
      <c r="J199" t="s">
        <v>45</v>
      </c>
      <c r="K199" t="s">
        <v>439</v>
      </c>
      <c r="L199" t="s">
        <v>23</v>
      </c>
      <c r="M199" t="s">
        <v>35</v>
      </c>
      <c r="N199">
        <v>1</v>
      </c>
      <c r="O199" t="s">
        <v>25</v>
      </c>
      <c r="P199">
        <v>1138</v>
      </c>
      <c r="Q199" t="s">
        <v>63</v>
      </c>
      <c r="R199" t="s">
        <v>64</v>
      </c>
      <c r="S199" t="s">
        <v>65</v>
      </c>
      <c r="T199" t="s">
        <v>29</v>
      </c>
      <c r="U199" t="s">
        <v>30</v>
      </c>
    </row>
    <row r="200" spans="1:21" x14ac:dyDescent="0.25">
      <c r="A200">
        <v>199</v>
      </c>
      <c r="B200" t="s">
        <v>440</v>
      </c>
      <c r="C200">
        <v>538205</v>
      </c>
      <c r="D200" t="s">
        <v>18</v>
      </c>
      <c r="E200">
        <v>68</v>
      </c>
      <c r="F200" t="str">
        <f t="shared" si="6"/>
        <v>senior</v>
      </c>
      <c r="G200" t="s">
        <v>19</v>
      </c>
      <c r="H200" t="str">
        <f t="shared" si="7"/>
        <v>Dec</v>
      </c>
      <c r="I200" t="s">
        <v>20</v>
      </c>
      <c r="J200" t="s">
        <v>21</v>
      </c>
      <c r="K200" t="s">
        <v>441</v>
      </c>
      <c r="L200" t="s">
        <v>42</v>
      </c>
      <c r="M200" t="s">
        <v>24</v>
      </c>
      <c r="N200">
        <v>1</v>
      </c>
      <c r="O200" t="s">
        <v>25</v>
      </c>
      <c r="P200">
        <v>1588</v>
      </c>
      <c r="Q200" t="s">
        <v>53</v>
      </c>
      <c r="R200" t="s">
        <v>54</v>
      </c>
      <c r="S200" t="s">
        <v>55</v>
      </c>
      <c r="T200" t="s">
        <v>29</v>
      </c>
      <c r="U200" t="s">
        <v>43</v>
      </c>
    </row>
    <row r="201" spans="1:21" x14ac:dyDescent="0.25">
      <c r="A201">
        <v>200</v>
      </c>
      <c r="B201" t="s">
        <v>442</v>
      </c>
      <c r="C201">
        <v>743849</v>
      </c>
      <c r="D201" t="s">
        <v>32</v>
      </c>
      <c r="E201">
        <v>30</v>
      </c>
      <c r="F201" t="str">
        <f t="shared" si="6"/>
        <v>adult</v>
      </c>
      <c r="G201" t="s">
        <v>19</v>
      </c>
      <c r="H201" t="str">
        <f t="shared" si="7"/>
        <v>Dec</v>
      </c>
      <c r="I201" t="s">
        <v>20</v>
      </c>
      <c r="J201" t="s">
        <v>21</v>
      </c>
      <c r="K201" t="s">
        <v>443</v>
      </c>
      <c r="L201" t="s">
        <v>42</v>
      </c>
      <c r="M201" t="s">
        <v>35</v>
      </c>
      <c r="N201">
        <v>1</v>
      </c>
      <c r="O201" t="s">
        <v>25</v>
      </c>
      <c r="P201">
        <v>1184</v>
      </c>
      <c r="Q201" t="s">
        <v>36</v>
      </c>
      <c r="R201" t="s">
        <v>37</v>
      </c>
      <c r="S201" t="s">
        <v>38</v>
      </c>
      <c r="T201" t="s">
        <v>29</v>
      </c>
      <c r="U201" t="s">
        <v>30</v>
      </c>
    </row>
    <row r="202" spans="1:21" x14ac:dyDescent="0.25">
      <c r="A202">
        <v>201</v>
      </c>
      <c r="B202" t="s">
        <v>444</v>
      </c>
      <c r="C202">
        <v>882717</v>
      </c>
      <c r="D202" t="s">
        <v>18</v>
      </c>
      <c r="E202">
        <v>20</v>
      </c>
      <c r="F202" t="str">
        <f t="shared" si="6"/>
        <v>teenager</v>
      </c>
      <c r="G202" t="s">
        <v>19</v>
      </c>
      <c r="H202" t="str">
        <f t="shared" si="7"/>
        <v>Dec</v>
      </c>
      <c r="I202" t="s">
        <v>20</v>
      </c>
      <c r="J202" t="s">
        <v>33</v>
      </c>
      <c r="K202" t="s">
        <v>445</v>
      </c>
      <c r="L202" t="s">
        <v>42</v>
      </c>
      <c r="M202" t="s">
        <v>50</v>
      </c>
      <c r="N202">
        <v>1</v>
      </c>
      <c r="O202" t="s">
        <v>25</v>
      </c>
      <c r="P202">
        <v>1082</v>
      </c>
      <c r="Q202" t="s">
        <v>26</v>
      </c>
      <c r="R202" t="s">
        <v>27</v>
      </c>
      <c r="S202" t="s">
        <v>28</v>
      </c>
      <c r="T202" t="s">
        <v>29</v>
      </c>
      <c r="U202" t="s">
        <v>43</v>
      </c>
    </row>
    <row r="203" spans="1:21" x14ac:dyDescent="0.25">
      <c r="A203">
        <v>202</v>
      </c>
      <c r="B203" t="s">
        <v>446</v>
      </c>
      <c r="C203">
        <v>504967</v>
      </c>
      <c r="D203" t="s">
        <v>32</v>
      </c>
      <c r="E203">
        <v>62</v>
      </c>
      <c r="F203" t="str">
        <f t="shared" si="6"/>
        <v>senior</v>
      </c>
      <c r="G203" t="s">
        <v>19</v>
      </c>
      <c r="H203" t="str">
        <f t="shared" si="7"/>
        <v>Dec</v>
      </c>
      <c r="I203" t="s">
        <v>20</v>
      </c>
      <c r="J203" t="s">
        <v>21</v>
      </c>
      <c r="K203" t="s">
        <v>447</v>
      </c>
      <c r="L203" t="s">
        <v>58</v>
      </c>
      <c r="M203" t="s">
        <v>24</v>
      </c>
      <c r="N203">
        <v>1</v>
      </c>
      <c r="O203" t="s">
        <v>25</v>
      </c>
      <c r="P203">
        <v>863</v>
      </c>
      <c r="Q203" t="s">
        <v>63</v>
      </c>
      <c r="R203" t="s">
        <v>64</v>
      </c>
      <c r="S203" t="s">
        <v>65</v>
      </c>
      <c r="T203" t="s">
        <v>29</v>
      </c>
      <c r="U203" t="s">
        <v>30</v>
      </c>
    </row>
    <row r="204" spans="1:21" x14ac:dyDescent="0.25">
      <c r="A204">
        <v>203</v>
      </c>
      <c r="B204" t="s">
        <v>448</v>
      </c>
      <c r="C204">
        <v>245204</v>
      </c>
      <c r="D204" t="s">
        <v>18</v>
      </c>
      <c r="E204">
        <v>47</v>
      </c>
      <c r="F204" t="str">
        <f t="shared" si="6"/>
        <v>adult</v>
      </c>
      <c r="G204" t="s">
        <v>19</v>
      </c>
      <c r="H204" t="str">
        <f t="shared" si="7"/>
        <v>Dec</v>
      </c>
      <c r="I204" t="s">
        <v>20</v>
      </c>
      <c r="J204" t="s">
        <v>21</v>
      </c>
      <c r="K204" t="s">
        <v>449</v>
      </c>
      <c r="L204" t="s">
        <v>58</v>
      </c>
      <c r="M204" t="s">
        <v>76</v>
      </c>
      <c r="N204">
        <v>1</v>
      </c>
      <c r="O204" t="s">
        <v>25</v>
      </c>
      <c r="P204">
        <v>387</v>
      </c>
      <c r="Q204" t="s">
        <v>36</v>
      </c>
      <c r="R204" t="s">
        <v>37</v>
      </c>
      <c r="S204" t="s">
        <v>38</v>
      </c>
      <c r="T204" t="s">
        <v>29</v>
      </c>
      <c r="U204" t="s">
        <v>30</v>
      </c>
    </row>
    <row r="205" spans="1:21" x14ac:dyDescent="0.25">
      <c r="A205">
        <v>204</v>
      </c>
      <c r="B205" t="s">
        <v>450</v>
      </c>
      <c r="C205">
        <v>152996</v>
      </c>
      <c r="D205" t="s">
        <v>32</v>
      </c>
      <c r="E205">
        <v>25</v>
      </c>
      <c r="F205" t="str">
        <f t="shared" si="6"/>
        <v>teenager</v>
      </c>
      <c r="G205" t="s">
        <v>19</v>
      </c>
      <c r="H205" t="str">
        <f t="shared" si="7"/>
        <v>Dec</v>
      </c>
      <c r="I205" t="s">
        <v>20</v>
      </c>
      <c r="J205" t="s">
        <v>33</v>
      </c>
      <c r="K205" t="s">
        <v>451</v>
      </c>
      <c r="L205" t="s">
        <v>42</v>
      </c>
      <c r="M205" t="s">
        <v>76</v>
      </c>
      <c r="N205">
        <v>1</v>
      </c>
      <c r="O205" t="s">
        <v>25</v>
      </c>
      <c r="P205">
        <v>1602</v>
      </c>
      <c r="Q205" t="s">
        <v>36</v>
      </c>
      <c r="R205" t="s">
        <v>37</v>
      </c>
      <c r="S205" t="s">
        <v>38</v>
      </c>
      <c r="T205" t="s">
        <v>29</v>
      </c>
      <c r="U205" t="s">
        <v>43</v>
      </c>
    </row>
    <row r="206" spans="1:21" x14ac:dyDescent="0.25">
      <c r="A206">
        <v>205</v>
      </c>
      <c r="B206" t="s">
        <v>452</v>
      </c>
      <c r="C206">
        <v>659648</v>
      </c>
      <c r="D206" t="s">
        <v>18</v>
      </c>
      <c r="E206">
        <v>25</v>
      </c>
      <c r="F206" t="str">
        <f t="shared" si="6"/>
        <v>teenager</v>
      </c>
      <c r="G206" t="s">
        <v>19</v>
      </c>
      <c r="H206" t="str">
        <f t="shared" si="7"/>
        <v>Dec</v>
      </c>
      <c r="I206" t="s">
        <v>20</v>
      </c>
      <c r="J206" t="s">
        <v>40</v>
      </c>
      <c r="K206" t="s">
        <v>453</v>
      </c>
      <c r="L206" t="s">
        <v>23</v>
      </c>
      <c r="M206" t="s">
        <v>24</v>
      </c>
      <c r="N206">
        <v>1</v>
      </c>
      <c r="O206" t="s">
        <v>25</v>
      </c>
      <c r="P206">
        <v>1495</v>
      </c>
      <c r="Q206" t="s">
        <v>26</v>
      </c>
      <c r="R206" t="s">
        <v>27</v>
      </c>
      <c r="S206" t="s">
        <v>28</v>
      </c>
      <c r="T206" t="s">
        <v>29</v>
      </c>
      <c r="U206" t="s">
        <v>30</v>
      </c>
    </row>
    <row r="207" spans="1:21" x14ac:dyDescent="0.25">
      <c r="A207">
        <v>206</v>
      </c>
      <c r="B207" t="s">
        <v>454</v>
      </c>
      <c r="C207">
        <v>496634</v>
      </c>
      <c r="D207" t="s">
        <v>32</v>
      </c>
      <c r="E207">
        <v>57</v>
      </c>
      <c r="F207" t="str">
        <f t="shared" si="6"/>
        <v>senior</v>
      </c>
      <c r="G207" t="s">
        <v>19</v>
      </c>
      <c r="H207" t="str">
        <f t="shared" si="7"/>
        <v>Dec</v>
      </c>
      <c r="I207" t="s">
        <v>20</v>
      </c>
      <c r="J207" t="s">
        <v>45</v>
      </c>
      <c r="K207" t="s">
        <v>455</v>
      </c>
      <c r="L207" t="s">
        <v>42</v>
      </c>
      <c r="M207" t="s">
        <v>24</v>
      </c>
      <c r="N207">
        <v>1</v>
      </c>
      <c r="O207" t="s">
        <v>25</v>
      </c>
      <c r="P207">
        <v>349</v>
      </c>
      <c r="Q207" t="s">
        <v>53</v>
      </c>
      <c r="R207" t="s">
        <v>54</v>
      </c>
      <c r="S207" t="s">
        <v>55</v>
      </c>
      <c r="T207" t="s">
        <v>29</v>
      </c>
      <c r="U207" t="s">
        <v>43</v>
      </c>
    </row>
    <row r="208" spans="1:21" x14ac:dyDescent="0.25">
      <c r="A208">
        <v>207</v>
      </c>
      <c r="B208" t="s">
        <v>456</v>
      </c>
      <c r="C208">
        <v>932966</v>
      </c>
      <c r="D208" t="s">
        <v>18</v>
      </c>
      <c r="E208">
        <v>64</v>
      </c>
      <c r="F208" t="str">
        <f t="shared" si="6"/>
        <v>senior</v>
      </c>
      <c r="G208" t="s">
        <v>19</v>
      </c>
      <c r="H208" t="str">
        <f t="shared" si="7"/>
        <v>Dec</v>
      </c>
      <c r="I208" t="s">
        <v>20</v>
      </c>
      <c r="J208" t="s">
        <v>21</v>
      </c>
      <c r="K208" t="s">
        <v>457</v>
      </c>
      <c r="L208" t="s">
        <v>42</v>
      </c>
      <c r="M208" t="s">
        <v>50</v>
      </c>
      <c r="N208">
        <v>1</v>
      </c>
      <c r="O208" t="s">
        <v>25</v>
      </c>
      <c r="P208">
        <v>1946</v>
      </c>
      <c r="Q208" t="s">
        <v>63</v>
      </c>
      <c r="R208" t="s">
        <v>64</v>
      </c>
      <c r="S208" t="s">
        <v>65</v>
      </c>
      <c r="T208" t="s">
        <v>29</v>
      </c>
      <c r="U208" t="s">
        <v>30</v>
      </c>
    </row>
    <row r="209" spans="1:21" x14ac:dyDescent="0.25">
      <c r="A209">
        <v>208</v>
      </c>
      <c r="B209" t="s">
        <v>458</v>
      </c>
      <c r="C209">
        <v>527233</v>
      </c>
      <c r="D209" t="s">
        <v>32</v>
      </c>
      <c r="E209">
        <v>44</v>
      </c>
      <c r="F209" t="str">
        <f t="shared" si="6"/>
        <v>adult</v>
      </c>
      <c r="G209" t="s">
        <v>19</v>
      </c>
      <c r="H209" t="str">
        <f t="shared" si="7"/>
        <v>Dec</v>
      </c>
      <c r="I209" t="s">
        <v>20</v>
      </c>
      <c r="J209" t="s">
        <v>40</v>
      </c>
      <c r="K209" t="s">
        <v>459</v>
      </c>
      <c r="L209" t="s">
        <v>58</v>
      </c>
      <c r="M209" t="s">
        <v>50</v>
      </c>
      <c r="N209">
        <v>1</v>
      </c>
      <c r="O209" t="s">
        <v>25</v>
      </c>
      <c r="P209">
        <v>893</v>
      </c>
      <c r="Q209" t="s">
        <v>26</v>
      </c>
      <c r="R209" t="s">
        <v>27</v>
      </c>
      <c r="S209" t="s">
        <v>28</v>
      </c>
      <c r="T209" t="s">
        <v>29</v>
      </c>
      <c r="U209" t="s">
        <v>43</v>
      </c>
    </row>
    <row r="210" spans="1:21" x14ac:dyDescent="0.25">
      <c r="A210">
        <v>209</v>
      </c>
      <c r="B210" t="s">
        <v>460</v>
      </c>
      <c r="C210">
        <v>769836</v>
      </c>
      <c r="D210" t="s">
        <v>18</v>
      </c>
      <c r="E210">
        <v>38</v>
      </c>
      <c r="F210" t="str">
        <f t="shared" si="6"/>
        <v>adult</v>
      </c>
      <c r="G210" t="s">
        <v>19</v>
      </c>
      <c r="H210" t="str">
        <f t="shared" si="7"/>
        <v>Dec</v>
      </c>
      <c r="I210" t="s">
        <v>20</v>
      </c>
      <c r="J210" t="s">
        <v>33</v>
      </c>
      <c r="K210" t="s">
        <v>461</v>
      </c>
      <c r="L210" t="s">
        <v>23</v>
      </c>
      <c r="M210" t="s">
        <v>35</v>
      </c>
      <c r="N210">
        <v>1</v>
      </c>
      <c r="O210" t="s">
        <v>25</v>
      </c>
      <c r="P210">
        <v>574</v>
      </c>
      <c r="Q210" t="s">
        <v>53</v>
      </c>
      <c r="R210" t="s">
        <v>54</v>
      </c>
      <c r="S210" t="s">
        <v>55</v>
      </c>
      <c r="T210" t="s">
        <v>29</v>
      </c>
      <c r="U210" t="s">
        <v>43</v>
      </c>
    </row>
    <row r="211" spans="1:21" x14ac:dyDescent="0.25">
      <c r="A211">
        <v>210</v>
      </c>
      <c r="B211" t="s">
        <v>462</v>
      </c>
      <c r="C211">
        <v>196347</v>
      </c>
      <c r="D211" t="s">
        <v>32</v>
      </c>
      <c r="E211">
        <v>48</v>
      </c>
      <c r="F211" t="str">
        <f t="shared" si="6"/>
        <v>adult</v>
      </c>
      <c r="G211" t="s">
        <v>19</v>
      </c>
      <c r="H211" t="str">
        <f t="shared" si="7"/>
        <v>Dec</v>
      </c>
      <c r="I211" t="s">
        <v>20</v>
      </c>
      <c r="J211" t="s">
        <v>33</v>
      </c>
      <c r="K211" t="s">
        <v>463</v>
      </c>
      <c r="L211" t="s">
        <v>42</v>
      </c>
      <c r="M211" t="s">
        <v>47</v>
      </c>
      <c r="N211">
        <v>1</v>
      </c>
      <c r="O211" t="s">
        <v>25</v>
      </c>
      <c r="P211">
        <v>1776</v>
      </c>
      <c r="Q211" t="s">
        <v>63</v>
      </c>
      <c r="R211" t="s">
        <v>64</v>
      </c>
      <c r="S211" t="s">
        <v>65</v>
      </c>
      <c r="T211" t="s">
        <v>29</v>
      </c>
      <c r="U211" t="s">
        <v>43</v>
      </c>
    </row>
    <row r="212" spans="1:21" x14ac:dyDescent="0.25">
      <c r="A212">
        <v>211</v>
      </c>
      <c r="B212" t="s">
        <v>464</v>
      </c>
      <c r="C212">
        <v>221899</v>
      </c>
      <c r="D212" t="s">
        <v>18</v>
      </c>
      <c r="E212">
        <v>29</v>
      </c>
      <c r="F212" t="str">
        <f t="shared" si="6"/>
        <v>teenager</v>
      </c>
      <c r="G212" t="s">
        <v>19</v>
      </c>
      <c r="H212" t="str">
        <f t="shared" si="7"/>
        <v>Dec</v>
      </c>
      <c r="I212" t="s">
        <v>20</v>
      </c>
      <c r="J212" t="s">
        <v>33</v>
      </c>
      <c r="K212" t="s">
        <v>465</v>
      </c>
      <c r="L212" t="s">
        <v>58</v>
      </c>
      <c r="M212" t="s">
        <v>35</v>
      </c>
      <c r="N212">
        <v>1</v>
      </c>
      <c r="O212" t="s">
        <v>25</v>
      </c>
      <c r="P212">
        <v>1755</v>
      </c>
      <c r="Q212" t="s">
        <v>63</v>
      </c>
      <c r="R212" t="s">
        <v>64</v>
      </c>
      <c r="S212" t="s">
        <v>65</v>
      </c>
      <c r="T212" t="s">
        <v>29</v>
      </c>
      <c r="U212" t="s">
        <v>30</v>
      </c>
    </row>
    <row r="213" spans="1:21" x14ac:dyDescent="0.25">
      <c r="A213">
        <v>212</v>
      </c>
      <c r="B213" t="s">
        <v>466</v>
      </c>
      <c r="C213">
        <v>739854</v>
      </c>
      <c r="D213" t="s">
        <v>32</v>
      </c>
      <c r="E213">
        <v>42</v>
      </c>
      <c r="F213" t="str">
        <f t="shared" si="6"/>
        <v>adult</v>
      </c>
      <c r="G213" t="s">
        <v>19</v>
      </c>
      <c r="H213" t="str">
        <f t="shared" si="7"/>
        <v>Dec</v>
      </c>
      <c r="I213" t="s">
        <v>20</v>
      </c>
      <c r="J213" t="s">
        <v>40</v>
      </c>
      <c r="K213" t="s">
        <v>467</v>
      </c>
      <c r="L213" t="s">
        <v>23</v>
      </c>
      <c r="M213" t="s">
        <v>50</v>
      </c>
      <c r="N213">
        <v>1</v>
      </c>
      <c r="O213" t="s">
        <v>25</v>
      </c>
      <c r="P213">
        <v>1049</v>
      </c>
      <c r="Q213" t="s">
        <v>63</v>
      </c>
      <c r="R213" t="s">
        <v>64</v>
      </c>
      <c r="S213" t="s">
        <v>65</v>
      </c>
      <c r="T213" t="s">
        <v>29</v>
      </c>
      <c r="U213" t="s">
        <v>30</v>
      </c>
    </row>
    <row r="214" spans="1:21" x14ac:dyDescent="0.25">
      <c r="A214">
        <v>213</v>
      </c>
      <c r="B214" t="s">
        <v>468</v>
      </c>
      <c r="C214">
        <v>586484</v>
      </c>
      <c r="D214" t="s">
        <v>18</v>
      </c>
      <c r="E214">
        <v>64</v>
      </c>
      <c r="F214" t="str">
        <f t="shared" si="6"/>
        <v>senior</v>
      </c>
      <c r="G214" t="s">
        <v>19</v>
      </c>
      <c r="H214" t="str">
        <f t="shared" si="7"/>
        <v>Dec</v>
      </c>
      <c r="I214" t="s">
        <v>20</v>
      </c>
      <c r="J214" t="s">
        <v>21</v>
      </c>
      <c r="K214" t="s">
        <v>469</v>
      </c>
      <c r="L214" t="s">
        <v>42</v>
      </c>
      <c r="M214" t="s">
        <v>76</v>
      </c>
      <c r="N214">
        <v>1</v>
      </c>
      <c r="O214" t="s">
        <v>25</v>
      </c>
      <c r="P214">
        <v>726</v>
      </c>
      <c r="Q214" t="s">
        <v>36</v>
      </c>
      <c r="R214" t="s">
        <v>37</v>
      </c>
      <c r="S214" t="s">
        <v>38</v>
      </c>
      <c r="T214" t="s">
        <v>29</v>
      </c>
      <c r="U214" t="s">
        <v>30</v>
      </c>
    </row>
    <row r="215" spans="1:21" x14ac:dyDescent="0.25">
      <c r="A215">
        <v>214</v>
      </c>
      <c r="B215" t="s">
        <v>470</v>
      </c>
      <c r="C215">
        <v>617184</v>
      </c>
      <c r="D215" t="s">
        <v>32</v>
      </c>
      <c r="E215">
        <v>36</v>
      </c>
      <c r="F215" t="str">
        <f t="shared" si="6"/>
        <v>adult</v>
      </c>
      <c r="G215" t="s">
        <v>19</v>
      </c>
      <c r="H215" t="str">
        <f t="shared" si="7"/>
        <v>Dec</v>
      </c>
      <c r="I215" t="s">
        <v>20</v>
      </c>
      <c r="J215" t="s">
        <v>33</v>
      </c>
      <c r="K215" t="s">
        <v>341</v>
      </c>
      <c r="L215" t="s">
        <v>58</v>
      </c>
      <c r="M215" t="s">
        <v>35</v>
      </c>
      <c r="N215">
        <v>1</v>
      </c>
      <c r="O215" t="s">
        <v>25</v>
      </c>
      <c r="P215">
        <v>373</v>
      </c>
      <c r="Q215" t="s">
        <v>26</v>
      </c>
      <c r="R215" t="s">
        <v>27</v>
      </c>
      <c r="S215" t="s">
        <v>28</v>
      </c>
      <c r="T215" t="s">
        <v>29</v>
      </c>
      <c r="U215" t="s">
        <v>43</v>
      </c>
    </row>
    <row r="216" spans="1:21" x14ac:dyDescent="0.25">
      <c r="A216">
        <v>215</v>
      </c>
      <c r="B216" t="s">
        <v>471</v>
      </c>
      <c r="C216">
        <v>387599</v>
      </c>
      <c r="D216" t="s">
        <v>18</v>
      </c>
      <c r="E216">
        <v>31</v>
      </c>
      <c r="F216" t="str">
        <f t="shared" si="6"/>
        <v>adult</v>
      </c>
      <c r="G216" t="s">
        <v>19</v>
      </c>
      <c r="H216" t="str">
        <f t="shared" si="7"/>
        <v>Dec</v>
      </c>
      <c r="I216" t="s">
        <v>20</v>
      </c>
      <c r="J216" t="s">
        <v>45</v>
      </c>
      <c r="K216" t="s">
        <v>472</v>
      </c>
      <c r="L216" t="s">
        <v>42</v>
      </c>
      <c r="M216" t="s">
        <v>76</v>
      </c>
      <c r="N216">
        <v>1</v>
      </c>
      <c r="O216" t="s">
        <v>25</v>
      </c>
      <c r="P216">
        <v>1568</v>
      </c>
      <c r="Q216" t="s">
        <v>53</v>
      </c>
      <c r="R216" t="s">
        <v>54</v>
      </c>
      <c r="S216" t="s">
        <v>55</v>
      </c>
      <c r="T216" t="s">
        <v>29</v>
      </c>
      <c r="U216" t="s">
        <v>30</v>
      </c>
    </row>
    <row r="217" spans="1:21" x14ac:dyDescent="0.25">
      <c r="A217">
        <v>216</v>
      </c>
      <c r="B217" t="s">
        <v>473</v>
      </c>
      <c r="C217">
        <v>847329</v>
      </c>
      <c r="D217" t="s">
        <v>32</v>
      </c>
      <c r="E217">
        <v>30</v>
      </c>
      <c r="F217" t="str">
        <f t="shared" si="6"/>
        <v>adult</v>
      </c>
      <c r="G217" t="s">
        <v>19</v>
      </c>
      <c r="H217" t="str">
        <f t="shared" si="7"/>
        <v>Dec</v>
      </c>
      <c r="I217" t="s">
        <v>20</v>
      </c>
      <c r="J217" t="s">
        <v>45</v>
      </c>
      <c r="K217" t="s">
        <v>474</v>
      </c>
      <c r="L217" t="s">
        <v>58</v>
      </c>
      <c r="M217" t="s">
        <v>50</v>
      </c>
      <c r="N217">
        <v>1</v>
      </c>
      <c r="O217" t="s">
        <v>25</v>
      </c>
      <c r="P217">
        <v>1701</v>
      </c>
      <c r="Q217" t="s">
        <v>53</v>
      </c>
      <c r="R217" t="s">
        <v>54</v>
      </c>
      <c r="S217" t="s">
        <v>55</v>
      </c>
      <c r="T217" t="s">
        <v>29</v>
      </c>
      <c r="U217" t="s">
        <v>30</v>
      </c>
    </row>
    <row r="218" spans="1:21" x14ac:dyDescent="0.25">
      <c r="A218">
        <v>217</v>
      </c>
      <c r="B218" t="s">
        <v>475</v>
      </c>
      <c r="C218">
        <v>610098</v>
      </c>
      <c r="D218" t="s">
        <v>18</v>
      </c>
      <c r="E218">
        <v>19</v>
      </c>
      <c r="F218" t="str">
        <f t="shared" si="6"/>
        <v>teenager</v>
      </c>
      <c r="G218" t="s">
        <v>19</v>
      </c>
      <c r="H218" t="str">
        <f t="shared" si="7"/>
        <v>Dec</v>
      </c>
      <c r="I218" t="s">
        <v>20</v>
      </c>
      <c r="J218" t="s">
        <v>21</v>
      </c>
      <c r="K218" t="s">
        <v>476</v>
      </c>
      <c r="L218" t="s">
        <v>42</v>
      </c>
      <c r="M218" t="s">
        <v>47</v>
      </c>
      <c r="N218">
        <v>1</v>
      </c>
      <c r="O218" t="s">
        <v>25</v>
      </c>
      <c r="P218">
        <v>1860</v>
      </c>
      <c r="Q218" t="s">
        <v>53</v>
      </c>
      <c r="R218" t="s">
        <v>54</v>
      </c>
      <c r="S218" t="s">
        <v>55</v>
      </c>
      <c r="T218" t="s">
        <v>29</v>
      </c>
      <c r="U218" t="s">
        <v>30</v>
      </c>
    </row>
    <row r="219" spans="1:21" x14ac:dyDescent="0.25">
      <c r="A219">
        <v>218</v>
      </c>
      <c r="B219" t="s">
        <v>477</v>
      </c>
      <c r="C219">
        <v>495340</v>
      </c>
      <c r="D219" t="s">
        <v>32</v>
      </c>
      <c r="E219">
        <v>63</v>
      </c>
      <c r="F219" t="str">
        <f t="shared" si="6"/>
        <v>senior</v>
      </c>
      <c r="G219" t="s">
        <v>19</v>
      </c>
      <c r="H219" t="str">
        <f t="shared" si="7"/>
        <v>Dec</v>
      </c>
      <c r="I219" t="s">
        <v>20</v>
      </c>
      <c r="J219" t="s">
        <v>21</v>
      </c>
      <c r="K219" t="s">
        <v>478</v>
      </c>
      <c r="L219" t="s">
        <v>58</v>
      </c>
      <c r="M219" t="s">
        <v>47</v>
      </c>
      <c r="N219">
        <v>1</v>
      </c>
      <c r="O219" t="s">
        <v>25</v>
      </c>
      <c r="P219">
        <v>1151</v>
      </c>
      <c r="Q219" t="s">
        <v>63</v>
      </c>
      <c r="R219" t="s">
        <v>64</v>
      </c>
      <c r="S219" t="s">
        <v>65</v>
      </c>
      <c r="T219" t="s">
        <v>29</v>
      </c>
      <c r="U219" t="s">
        <v>43</v>
      </c>
    </row>
    <row r="220" spans="1:21" x14ac:dyDescent="0.25">
      <c r="A220">
        <v>219</v>
      </c>
      <c r="B220" t="s">
        <v>479</v>
      </c>
      <c r="C220">
        <v>800083</v>
      </c>
      <c r="D220" t="s">
        <v>18</v>
      </c>
      <c r="E220">
        <v>27</v>
      </c>
      <c r="F220" t="str">
        <f t="shared" si="6"/>
        <v>teenager</v>
      </c>
      <c r="G220" t="s">
        <v>19</v>
      </c>
      <c r="H220" t="str">
        <f t="shared" si="7"/>
        <v>Dec</v>
      </c>
      <c r="I220" t="s">
        <v>20</v>
      </c>
      <c r="J220" t="s">
        <v>40</v>
      </c>
      <c r="K220" t="s">
        <v>480</v>
      </c>
      <c r="L220" t="s">
        <v>58</v>
      </c>
      <c r="M220" t="s">
        <v>24</v>
      </c>
      <c r="N220">
        <v>1</v>
      </c>
      <c r="O220" t="s">
        <v>25</v>
      </c>
      <c r="P220">
        <v>708</v>
      </c>
      <c r="Q220" t="s">
        <v>53</v>
      </c>
      <c r="R220" t="s">
        <v>54</v>
      </c>
      <c r="S220" t="s">
        <v>55</v>
      </c>
      <c r="T220" t="s">
        <v>29</v>
      </c>
      <c r="U220" t="s">
        <v>43</v>
      </c>
    </row>
    <row r="221" spans="1:21" x14ac:dyDescent="0.25">
      <c r="A221">
        <v>220</v>
      </c>
      <c r="B221" t="s">
        <v>481</v>
      </c>
      <c r="C221">
        <v>813992</v>
      </c>
      <c r="D221" t="s">
        <v>32</v>
      </c>
      <c r="E221">
        <v>24</v>
      </c>
      <c r="F221" t="str">
        <f t="shared" si="6"/>
        <v>teenager</v>
      </c>
      <c r="G221" t="s">
        <v>19</v>
      </c>
      <c r="H221" t="str">
        <f t="shared" si="7"/>
        <v>Dec</v>
      </c>
      <c r="I221" t="s">
        <v>20</v>
      </c>
      <c r="J221" t="s">
        <v>45</v>
      </c>
      <c r="K221" t="s">
        <v>482</v>
      </c>
      <c r="L221" t="s">
        <v>42</v>
      </c>
      <c r="M221" t="s">
        <v>50</v>
      </c>
      <c r="N221">
        <v>1</v>
      </c>
      <c r="O221" t="s">
        <v>25</v>
      </c>
      <c r="P221">
        <v>962</v>
      </c>
      <c r="Q221" t="s">
        <v>26</v>
      </c>
      <c r="R221" t="s">
        <v>27</v>
      </c>
      <c r="S221" t="s">
        <v>28</v>
      </c>
      <c r="T221" t="s">
        <v>29</v>
      </c>
      <c r="U221" t="s">
        <v>30</v>
      </c>
    </row>
    <row r="222" spans="1:21" x14ac:dyDescent="0.25">
      <c r="A222">
        <v>221</v>
      </c>
      <c r="B222" t="s">
        <v>483</v>
      </c>
      <c r="C222">
        <v>356986</v>
      </c>
      <c r="D222" t="s">
        <v>18</v>
      </c>
      <c r="E222">
        <v>63</v>
      </c>
      <c r="F222" t="str">
        <f t="shared" si="6"/>
        <v>senior</v>
      </c>
      <c r="G222" t="s">
        <v>19</v>
      </c>
      <c r="H222" t="str">
        <f t="shared" si="7"/>
        <v>Dec</v>
      </c>
      <c r="I222" t="s">
        <v>20</v>
      </c>
      <c r="J222" t="s">
        <v>45</v>
      </c>
      <c r="K222" t="s">
        <v>484</v>
      </c>
      <c r="L222" t="s">
        <v>58</v>
      </c>
      <c r="M222" t="s">
        <v>50</v>
      </c>
      <c r="N222">
        <v>1</v>
      </c>
      <c r="O222" t="s">
        <v>25</v>
      </c>
      <c r="P222">
        <v>935</v>
      </c>
      <c r="Q222" t="s">
        <v>63</v>
      </c>
      <c r="R222" t="s">
        <v>64</v>
      </c>
      <c r="S222" t="s">
        <v>65</v>
      </c>
      <c r="T222" t="s">
        <v>29</v>
      </c>
      <c r="U222" t="s">
        <v>30</v>
      </c>
    </row>
    <row r="223" spans="1:21" x14ac:dyDescent="0.25">
      <c r="A223">
        <v>222</v>
      </c>
      <c r="B223" t="s">
        <v>485</v>
      </c>
      <c r="C223">
        <v>193267</v>
      </c>
      <c r="D223" t="s">
        <v>32</v>
      </c>
      <c r="E223">
        <v>47</v>
      </c>
      <c r="F223" t="str">
        <f t="shared" si="6"/>
        <v>adult</v>
      </c>
      <c r="G223" t="s">
        <v>19</v>
      </c>
      <c r="H223" t="str">
        <f t="shared" si="7"/>
        <v>Dec</v>
      </c>
      <c r="I223" t="s">
        <v>20</v>
      </c>
      <c r="J223" t="s">
        <v>40</v>
      </c>
      <c r="K223" t="s">
        <v>486</v>
      </c>
      <c r="L223" t="s">
        <v>58</v>
      </c>
      <c r="M223" t="s">
        <v>47</v>
      </c>
      <c r="N223">
        <v>1</v>
      </c>
      <c r="O223" t="s">
        <v>25</v>
      </c>
      <c r="P223">
        <v>532</v>
      </c>
      <c r="Q223" t="s">
        <v>63</v>
      </c>
      <c r="R223" t="s">
        <v>64</v>
      </c>
      <c r="S223" t="s">
        <v>65</v>
      </c>
      <c r="T223" t="s">
        <v>29</v>
      </c>
      <c r="U223" t="s">
        <v>43</v>
      </c>
    </row>
    <row r="224" spans="1:21" x14ac:dyDescent="0.25">
      <c r="A224">
        <v>223</v>
      </c>
      <c r="B224" t="s">
        <v>487</v>
      </c>
      <c r="C224">
        <v>484442</v>
      </c>
      <c r="D224" t="s">
        <v>18</v>
      </c>
      <c r="E224">
        <v>52</v>
      </c>
      <c r="F224" t="str">
        <f t="shared" si="6"/>
        <v>senior</v>
      </c>
      <c r="G224" t="s">
        <v>19</v>
      </c>
      <c r="H224" t="str">
        <f t="shared" si="7"/>
        <v>Dec</v>
      </c>
      <c r="I224" t="s">
        <v>20</v>
      </c>
      <c r="J224" t="s">
        <v>40</v>
      </c>
      <c r="K224" t="s">
        <v>488</v>
      </c>
      <c r="L224" t="s">
        <v>58</v>
      </c>
      <c r="M224" t="s">
        <v>76</v>
      </c>
      <c r="N224">
        <v>1</v>
      </c>
      <c r="O224" t="s">
        <v>25</v>
      </c>
      <c r="P224">
        <v>1844</v>
      </c>
      <c r="Q224" t="s">
        <v>53</v>
      </c>
      <c r="R224" t="s">
        <v>54</v>
      </c>
      <c r="S224" t="s">
        <v>55</v>
      </c>
      <c r="T224" t="s">
        <v>29</v>
      </c>
      <c r="U224" t="s">
        <v>30</v>
      </c>
    </row>
    <row r="225" spans="1:21" x14ac:dyDescent="0.25">
      <c r="A225">
        <v>224</v>
      </c>
      <c r="B225" t="s">
        <v>489</v>
      </c>
      <c r="C225">
        <v>188709</v>
      </c>
      <c r="D225" t="s">
        <v>32</v>
      </c>
      <c r="E225">
        <v>51</v>
      </c>
      <c r="F225" t="str">
        <f t="shared" si="6"/>
        <v>senior</v>
      </c>
      <c r="G225" t="s">
        <v>19</v>
      </c>
      <c r="H225" t="str">
        <f t="shared" si="7"/>
        <v>Dec</v>
      </c>
      <c r="I225" t="s">
        <v>20</v>
      </c>
      <c r="J225" t="s">
        <v>45</v>
      </c>
      <c r="K225" t="s">
        <v>490</v>
      </c>
      <c r="L225" t="s">
        <v>23</v>
      </c>
      <c r="M225" t="s">
        <v>35</v>
      </c>
      <c r="N225">
        <v>1</v>
      </c>
      <c r="O225" t="s">
        <v>25</v>
      </c>
      <c r="P225">
        <v>728</v>
      </c>
      <c r="Q225" t="s">
        <v>53</v>
      </c>
      <c r="R225" t="s">
        <v>54</v>
      </c>
      <c r="S225" t="s">
        <v>55</v>
      </c>
      <c r="T225" t="s">
        <v>29</v>
      </c>
      <c r="U225" t="s">
        <v>43</v>
      </c>
    </row>
    <row r="226" spans="1:21" x14ac:dyDescent="0.25">
      <c r="A226">
        <v>225</v>
      </c>
      <c r="B226" t="s">
        <v>491</v>
      </c>
      <c r="C226">
        <v>718271</v>
      </c>
      <c r="D226" t="s">
        <v>18</v>
      </c>
      <c r="E226">
        <v>63</v>
      </c>
      <c r="F226" t="str">
        <f t="shared" si="6"/>
        <v>senior</v>
      </c>
      <c r="G226" t="s">
        <v>19</v>
      </c>
      <c r="H226" t="str">
        <f t="shared" si="7"/>
        <v>Dec</v>
      </c>
      <c r="I226" t="s">
        <v>20</v>
      </c>
      <c r="J226" t="s">
        <v>21</v>
      </c>
      <c r="K226" t="s">
        <v>492</v>
      </c>
      <c r="L226" t="s">
        <v>42</v>
      </c>
      <c r="M226" t="s">
        <v>50</v>
      </c>
      <c r="N226">
        <v>1</v>
      </c>
      <c r="O226" t="s">
        <v>25</v>
      </c>
      <c r="P226">
        <v>337</v>
      </c>
      <c r="Q226" t="s">
        <v>53</v>
      </c>
      <c r="R226" t="s">
        <v>54</v>
      </c>
      <c r="S226" t="s">
        <v>55</v>
      </c>
      <c r="T226" t="s">
        <v>29</v>
      </c>
      <c r="U226" t="s">
        <v>43</v>
      </c>
    </row>
    <row r="227" spans="1:21" x14ac:dyDescent="0.25">
      <c r="A227">
        <v>226</v>
      </c>
      <c r="B227" t="s">
        <v>493</v>
      </c>
      <c r="C227">
        <v>843212</v>
      </c>
      <c r="D227" t="s">
        <v>32</v>
      </c>
      <c r="E227">
        <v>46</v>
      </c>
      <c r="F227" t="str">
        <f t="shared" si="6"/>
        <v>adult</v>
      </c>
      <c r="G227" t="s">
        <v>19</v>
      </c>
      <c r="H227" t="str">
        <f t="shared" si="7"/>
        <v>Dec</v>
      </c>
      <c r="I227" t="s">
        <v>20</v>
      </c>
      <c r="J227" t="s">
        <v>21</v>
      </c>
      <c r="K227" t="s">
        <v>494</v>
      </c>
      <c r="L227" t="s">
        <v>42</v>
      </c>
      <c r="M227" t="s">
        <v>35</v>
      </c>
      <c r="N227">
        <v>1</v>
      </c>
      <c r="O227" t="s">
        <v>25</v>
      </c>
      <c r="P227">
        <v>1183</v>
      </c>
      <c r="Q227" t="s">
        <v>63</v>
      </c>
      <c r="R227" t="s">
        <v>64</v>
      </c>
      <c r="S227" t="s">
        <v>65</v>
      </c>
      <c r="T227" t="s">
        <v>29</v>
      </c>
      <c r="U227" t="s">
        <v>43</v>
      </c>
    </row>
    <row r="228" spans="1:21" x14ac:dyDescent="0.25">
      <c r="A228">
        <v>227</v>
      </c>
      <c r="B228" t="s">
        <v>495</v>
      </c>
      <c r="C228">
        <v>380338</v>
      </c>
      <c r="D228" t="s">
        <v>18</v>
      </c>
      <c r="E228">
        <v>24</v>
      </c>
      <c r="F228" t="str">
        <f t="shared" si="6"/>
        <v>teenager</v>
      </c>
      <c r="G228" t="s">
        <v>19</v>
      </c>
      <c r="H228" t="str">
        <f t="shared" si="7"/>
        <v>Dec</v>
      </c>
      <c r="I228" t="s">
        <v>20</v>
      </c>
      <c r="J228" t="s">
        <v>33</v>
      </c>
      <c r="K228" t="s">
        <v>496</v>
      </c>
      <c r="L228" t="s">
        <v>58</v>
      </c>
      <c r="M228" t="s">
        <v>76</v>
      </c>
      <c r="N228">
        <v>1</v>
      </c>
      <c r="O228" t="s">
        <v>25</v>
      </c>
      <c r="P228">
        <v>953</v>
      </c>
      <c r="Q228" t="s">
        <v>36</v>
      </c>
      <c r="R228" t="s">
        <v>37</v>
      </c>
      <c r="S228" t="s">
        <v>38</v>
      </c>
      <c r="T228" t="s">
        <v>29</v>
      </c>
      <c r="U228" t="s">
        <v>30</v>
      </c>
    </row>
    <row r="229" spans="1:21" x14ac:dyDescent="0.25">
      <c r="A229">
        <v>228</v>
      </c>
      <c r="B229" t="s">
        <v>497</v>
      </c>
      <c r="C229">
        <v>185554</v>
      </c>
      <c r="D229" t="s">
        <v>32</v>
      </c>
      <c r="E229">
        <v>37</v>
      </c>
      <c r="F229" t="str">
        <f t="shared" si="6"/>
        <v>adult</v>
      </c>
      <c r="G229" t="s">
        <v>19</v>
      </c>
      <c r="H229" t="str">
        <f t="shared" si="7"/>
        <v>Dec</v>
      </c>
      <c r="I229" t="s">
        <v>20</v>
      </c>
      <c r="J229" t="s">
        <v>33</v>
      </c>
      <c r="K229" t="s">
        <v>498</v>
      </c>
      <c r="L229" t="s">
        <v>23</v>
      </c>
      <c r="M229" t="s">
        <v>50</v>
      </c>
      <c r="N229">
        <v>1</v>
      </c>
      <c r="O229" t="s">
        <v>25</v>
      </c>
      <c r="P229">
        <v>1561</v>
      </c>
      <c r="Q229" t="s">
        <v>26</v>
      </c>
      <c r="R229" t="s">
        <v>27</v>
      </c>
      <c r="S229" t="s">
        <v>28</v>
      </c>
      <c r="T229" t="s">
        <v>29</v>
      </c>
      <c r="U229" t="s">
        <v>43</v>
      </c>
    </row>
    <row r="230" spans="1:21" x14ac:dyDescent="0.25">
      <c r="A230">
        <v>229</v>
      </c>
      <c r="B230" t="s">
        <v>499</v>
      </c>
      <c r="C230">
        <v>217579</v>
      </c>
      <c r="D230" t="s">
        <v>18</v>
      </c>
      <c r="E230">
        <v>53</v>
      </c>
      <c r="F230" t="str">
        <f t="shared" si="6"/>
        <v>senior</v>
      </c>
      <c r="G230" t="s">
        <v>19</v>
      </c>
      <c r="H230" t="str">
        <f t="shared" si="7"/>
        <v>Dec</v>
      </c>
      <c r="I230" t="s">
        <v>20</v>
      </c>
      <c r="J230" t="s">
        <v>45</v>
      </c>
      <c r="K230" t="s">
        <v>500</v>
      </c>
      <c r="L230" t="s">
        <v>42</v>
      </c>
      <c r="M230" t="s">
        <v>47</v>
      </c>
      <c r="N230">
        <v>1</v>
      </c>
      <c r="O230" t="s">
        <v>25</v>
      </c>
      <c r="P230">
        <v>867</v>
      </c>
      <c r="Q230" t="s">
        <v>36</v>
      </c>
      <c r="R230" t="s">
        <v>37</v>
      </c>
      <c r="S230" t="s">
        <v>38</v>
      </c>
      <c r="T230" t="s">
        <v>29</v>
      </c>
      <c r="U230" t="s">
        <v>30</v>
      </c>
    </row>
    <row r="231" spans="1:21" x14ac:dyDescent="0.25">
      <c r="A231">
        <v>230</v>
      </c>
      <c r="B231" t="s">
        <v>501</v>
      </c>
      <c r="C231">
        <v>166367</v>
      </c>
      <c r="D231" t="s">
        <v>32</v>
      </c>
      <c r="E231">
        <v>25</v>
      </c>
      <c r="F231" t="str">
        <f t="shared" si="6"/>
        <v>teenager</v>
      </c>
      <c r="G231" t="s">
        <v>19</v>
      </c>
      <c r="H231" t="str">
        <f t="shared" si="7"/>
        <v>Dec</v>
      </c>
      <c r="I231" t="s">
        <v>20</v>
      </c>
      <c r="J231" t="s">
        <v>33</v>
      </c>
      <c r="K231" t="s">
        <v>502</v>
      </c>
      <c r="L231" t="s">
        <v>42</v>
      </c>
      <c r="M231" t="s">
        <v>47</v>
      </c>
      <c r="N231">
        <v>1</v>
      </c>
      <c r="O231" t="s">
        <v>25</v>
      </c>
      <c r="P231">
        <v>553</v>
      </c>
      <c r="Q231" t="s">
        <v>26</v>
      </c>
      <c r="R231" t="s">
        <v>27</v>
      </c>
      <c r="S231" t="s">
        <v>28</v>
      </c>
      <c r="T231" t="s">
        <v>29</v>
      </c>
      <c r="U231" t="s">
        <v>43</v>
      </c>
    </row>
    <row r="232" spans="1:21" x14ac:dyDescent="0.25">
      <c r="A232">
        <v>231</v>
      </c>
      <c r="B232" t="s">
        <v>503</v>
      </c>
      <c r="C232">
        <v>130400</v>
      </c>
      <c r="D232" t="s">
        <v>18</v>
      </c>
      <c r="E232">
        <v>43</v>
      </c>
      <c r="F232" t="str">
        <f t="shared" si="6"/>
        <v>adult</v>
      </c>
      <c r="G232" t="s">
        <v>19</v>
      </c>
      <c r="H232" t="str">
        <f t="shared" si="7"/>
        <v>Dec</v>
      </c>
      <c r="I232" t="s">
        <v>20</v>
      </c>
      <c r="J232" t="s">
        <v>45</v>
      </c>
      <c r="K232" t="s">
        <v>504</v>
      </c>
      <c r="L232" t="s">
        <v>58</v>
      </c>
      <c r="M232" t="s">
        <v>76</v>
      </c>
      <c r="N232">
        <v>1</v>
      </c>
      <c r="O232" t="s">
        <v>25</v>
      </c>
      <c r="P232">
        <v>1989</v>
      </c>
      <c r="Q232" t="s">
        <v>63</v>
      </c>
      <c r="R232" t="s">
        <v>64</v>
      </c>
      <c r="S232" t="s">
        <v>65</v>
      </c>
      <c r="T232" t="s">
        <v>29</v>
      </c>
      <c r="U232" t="s">
        <v>43</v>
      </c>
    </row>
    <row r="233" spans="1:21" x14ac:dyDescent="0.25">
      <c r="A233">
        <v>232</v>
      </c>
      <c r="B233" t="s">
        <v>505</v>
      </c>
      <c r="C233">
        <v>125934</v>
      </c>
      <c r="D233" t="s">
        <v>32</v>
      </c>
      <c r="E233">
        <v>45</v>
      </c>
      <c r="F233" t="str">
        <f t="shared" si="6"/>
        <v>adult</v>
      </c>
      <c r="G233" t="s">
        <v>19</v>
      </c>
      <c r="H233" t="str">
        <f t="shared" si="7"/>
        <v>Dec</v>
      </c>
      <c r="I233" t="s">
        <v>20</v>
      </c>
      <c r="J233" t="s">
        <v>45</v>
      </c>
      <c r="K233" t="s">
        <v>506</v>
      </c>
      <c r="L233" t="s">
        <v>23</v>
      </c>
      <c r="M233" t="s">
        <v>24</v>
      </c>
      <c r="N233">
        <v>1</v>
      </c>
      <c r="O233" t="s">
        <v>25</v>
      </c>
      <c r="P233">
        <v>1253</v>
      </c>
      <c r="Q233" t="s">
        <v>26</v>
      </c>
      <c r="R233" t="s">
        <v>27</v>
      </c>
      <c r="S233" t="s">
        <v>28</v>
      </c>
      <c r="T233" t="s">
        <v>29</v>
      </c>
      <c r="U233" t="s">
        <v>43</v>
      </c>
    </row>
    <row r="234" spans="1:21" x14ac:dyDescent="0.25">
      <c r="A234">
        <v>233</v>
      </c>
      <c r="B234" t="s">
        <v>507</v>
      </c>
      <c r="C234">
        <v>878833</v>
      </c>
      <c r="D234" t="s">
        <v>18</v>
      </c>
      <c r="E234">
        <v>48</v>
      </c>
      <c r="F234" t="str">
        <f t="shared" si="6"/>
        <v>adult</v>
      </c>
      <c r="G234" t="s">
        <v>19</v>
      </c>
      <c r="H234" t="str">
        <f t="shared" si="7"/>
        <v>Dec</v>
      </c>
      <c r="I234" t="s">
        <v>20</v>
      </c>
      <c r="J234" t="s">
        <v>40</v>
      </c>
      <c r="K234" t="s">
        <v>508</v>
      </c>
      <c r="L234" t="s">
        <v>58</v>
      </c>
      <c r="M234" t="s">
        <v>35</v>
      </c>
      <c r="N234">
        <v>1</v>
      </c>
      <c r="O234" t="s">
        <v>25</v>
      </c>
      <c r="P234">
        <v>543</v>
      </c>
      <c r="Q234" t="s">
        <v>53</v>
      </c>
      <c r="R234" t="s">
        <v>54</v>
      </c>
      <c r="S234" t="s">
        <v>55</v>
      </c>
      <c r="T234" t="s">
        <v>29</v>
      </c>
      <c r="U234" t="s">
        <v>43</v>
      </c>
    </row>
    <row r="235" spans="1:21" x14ac:dyDescent="0.25">
      <c r="A235">
        <v>234</v>
      </c>
      <c r="B235" t="s">
        <v>509</v>
      </c>
      <c r="C235">
        <v>710595</v>
      </c>
      <c r="D235" t="s">
        <v>32</v>
      </c>
      <c r="E235">
        <v>58</v>
      </c>
      <c r="F235" t="str">
        <f t="shared" si="6"/>
        <v>senior</v>
      </c>
      <c r="G235" t="s">
        <v>19</v>
      </c>
      <c r="H235" t="str">
        <f t="shared" si="7"/>
        <v>Dec</v>
      </c>
      <c r="I235" t="s">
        <v>20</v>
      </c>
      <c r="J235" t="s">
        <v>40</v>
      </c>
      <c r="K235" t="s">
        <v>510</v>
      </c>
      <c r="L235" t="s">
        <v>58</v>
      </c>
      <c r="M235" t="s">
        <v>47</v>
      </c>
      <c r="N235">
        <v>1</v>
      </c>
      <c r="O235" t="s">
        <v>25</v>
      </c>
      <c r="P235">
        <v>1991</v>
      </c>
      <c r="Q235" t="s">
        <v>26</v>
      </c>
      <c r="R235" t="s">
        <v>27</v>
      </c>
      <c r="S235" t="s">
        <v>28</v>
      </c>
      <c r="T235" t="s">
        <v>29</v>
      </c>
      <c r="U235" t="s">
        <v>43</v>
      </c>
    </row>
    <row r="236" spans="1:21" x14ac:dyDescent="0.25">
      <c r="A236">
        <v>235</v>
      </c>
      <c r="B236" t="s">
        <v>511</v>
      </c>
      <c r="C236">
        <v>197398</v>
      </c>
      <c r="D236" t="s">
        <v>18</v>
      </c>
      <c r="E236">
        <v>55</v>
      </c>
      <c r="F236" t="str">
        <f t="shared" si="6"/>
        <v>senior</v>
      </c>
      <c r="G236" t="s">
        <v>19</v>
      </c>
      <c r="H236" t="str">
        <f t="shared" si="7"/>
        <v>Dec</v>
      </c>
      <c r="I236" t="s">
        <v>20</v>
      </c>
      <c r="J236" t="s">
        <v>45</v>
      </c>
      <c r="K236" t="s">
        <v>333</v>
      </c>
      <c r="L236" t="s">
        <v>58</v>
      </c>
      <c r="M236" t="s">
        <v>76</v>
      </c>
      <c r="N236">
        <v>1</v>
      </c>
      <c r="O236" t="s">
        <v>25</v>
      </c>
      <c r="P236">
        <v>719</v>
      </c>
      <c r="Q236" t="s">
        <v>36</v>
      </c>
      <c r="R236" t="s">
        <v>37</v>
      </c>
      <c r="S236" t="s">
        <v>38</v>
      </c>
      <c r="T236" t="s">
        <v>29</v>
      </c>
      <c r="U236" t="s">
        <v>30</v>
      </c>
    </row>
    <row r="237" spans="1:21" x14ac:dyDescent="0.25">
      <c r="A237">
        <v>236</v>
      </c>
      <c r="B237" t="s">
        <v>512</v>
      </c>
      <c r="C237">
        <v>522601</v>
      </c>
      <c r="D237" t="s">
        <v>32</v>
      </c>
      <c r="E237">
        <v>58</v>
      </c>
      <c r="F237" t="str">
        <f t="shared" si="6"/>
        <v>senior</v>
      </c>
      <c r="G237" t="s">
        <v>19</v>
      </c>
      <c r="H237" t="str">
        <f t="shared" si="7"/>
        <v>Dec</v>
      </c>
      <c r="I237" t="s">
        <v>20</v>
      </c>
      <c r="J237" t="s">
        <v>21</v>
      </c>
      <c r="K237" t="s">
        <v>513</v>
      </c>
      <c r="L237" t="s">
        <v>58</v>
      </c>
      <c r="M237" t="s">
        <v>76</v>
      </c>
      <c r="N237">
        <v>1</v>
      </c>
      <c r="O237" t="s">
        <v>25</v>
      </c>
      <c r="P237">
        <v>1253</v>
      </c>
      <c r="Q237" t="s">
        <v>63</v>
      </c>
      <c r="R237" t="s">
        <v>64</v>
      </c>
      <c r="S237" t="s">
        <v>65</v>
      </c>
      <c r="T237" t="s">
        <v>29</v>
      </c>
      <c r="U237" t="s">
        <v>30</v>
      </c>
    </row>
    <row r="238" spans="1:21" x14ac:dyDescent="0.25">
      <c r="A238">
        <v>237</v>
      </c>
      <c r="B238" t="s">
        <v>514</v>
      </c>
      <c r="C238">
        <v>885903</v>
      </c>
      <c r="D238" t="s">
        <v>18</v>
      </c>
      <c r="E238">
        <v>62</v>
      </c>
      <c r="F238" t="str">
        <f t="shared" si="6"/>
        <v>senior</v>
      </c>
      <c r="G238" t="s">
        <v>19</v>
      </c>
      <c r="H238" t="str">
        <f t="shared" si="7"/>
        <v>Dec</v>
      </c>
      <c r="I238" t="s">
        <v>20</v>
      </c>
      <c r="J238" t="s">
        <v>45</v>
      </c>
      <c r="K238" t="s">
        <v>515</v>
      </c>
      <c r="L238" t="s">
        <v>42</v>
      </c>
      <c r="M238" t="s">
        <v>47</v>
      </c>
      <c r="N238">
        <v>1</v>
      </c>
      <c r="O238" t="s">
        <v>25</v>
      </c>
      <c r="P238">
        <v>1681</v>
      </c>
      <c r="Q238" t="s">
        <v>63</v>
      </c>
      <c r="R238" t="s">
        <v>64</v>
      </c>
      <c r="S238" t="s">
        <v>65</v>
      </c>
      <c r="T238" t="s">
        <v>29</v>
      </c>
      <c r="U238" t="s">
        <v>30</v>
      </c>
    </row>
    <row r="239" spans="1:21" x14ac:dyDescent="0.25">
      <c r="A239">
        <v>238</v>
      </c>
      <c r="B239" t="s">
        <v>516</v>
      </c>
      <c r="C239">
        <v>387183</v>
      </c>
      <c r="D239" t="s">
        <v>32</v>
      </c>
      <c r="E239">
        <v>47</v>
      </c>
      <c r="F239" t="str">
        <f t="shared" si="6"/>
        <v>adult</v>
      </c>
      <c r="G239" t="s">
        <v>19</v>
      </c>
      <c r="H239" t="str">
        <f t="shared" si="7"/>
        <v>Dec</v>
      </c>
      <c r="I239" t="s">
        <v>20</v>
      </c>
      <c r="J239" t="s">
        <v>33</v>
      </c>
      <c r="K239" t="s">
        <v>517</v>
      </c>
      <c r="L239" t="s">
        <v>23</v>
      </c>
      <c r="M239" t="s">
        <v>24</v>
      </c>
      <c r="N239">
        <v>1</v>
      </c>
      <c r="O239" t="s">
        <v>25</v>
      </c>
      <c r="P239">
        <v>1424</v>
      </c>
      <c r="Q239" t="s">
        <v>26</v>
      </c>
      <c r="R239" t="s">
        <v>27</v>
      </c>
      <c r="S239" t="s">
        <v>28</v>
      </c>
      <c r="T239" t="s">
        <v>29</v>
      </c>
      <c r="U239" t="s">
        <v>30</v>
      </c>
    </row>
    <row r="240" spans="1:21" x14ac:dyDescent="0.25">
      <c r="A240">
        <v>239</v>
      </c>
      <c r="B240" t="s">
        <v>518</v>
      </c>
      <c r="C240">
        <v>737847</v>
      </c>
      <c r="D240" t="s">
        <v>18</v>
      </c>
      <c r="E240">
        <v>44</v>
      </c>
      <c r="F240" t="str">
        <f t="shared" si="6"/>
        <v>adult</v>
      </c>
      <c r="G240" t="s">
        <v>19</v>
      </c>
      <c r="H240" t="str">
        <f t="shared" si="7"/>
        <v>Dec</v>
      </c>
      <c r="I240" t="s">
        <v>20</v>
      </c>
      <c r="J240" t="s">
        <v>40</v>
      </c>
      <c r="K240" t="s">
        <v>519</v>
      </c>
      <c r="L240" t="s">
        <v>58</v>
      </c>
      <c r="M240" t="s">
        <v>76</v>
      </c>
      <c r="N240">
        <v>1</v>
      </c>
      <c r="O240" t="s">
        <v>25</v>
      </c>
      <c r="P240">
        <v>1331</v>
      </c>
      <c r="Q240" t="s">
        <v>26</v>
      </c>
      <c r="R240" t="s">
        <v>27</v>
      </c>
      <c r="S240" t="s">
        <v>28</v>
      </c>
      <c r="T240" t="s">
        <v>29</v>
      </c>
      <c r="U240" t="s">
        <v>43</v>
      </c>
    </row>
    <row r="241" spans="1:21" x14ac:dyDescent="0.25">
      <c r="A241">
        <v>240</v>
      </c>
      <c r="B241" t="s">
        <v>520</v>
      </c>
      <c r="C241">
        <v>342868</v>
      </c>
      <c r="D241" t="s">
        <v>32</v>
      </c>
      <c r="E241">
        <v>60</v>
      </c>
      <c r="F241" t="str">
        <f t="shared" si="6"/>
        <v>senior</v>
      </c>
      <c r="G241" t="s">
        <v>19</v>
      </c>
      <c r="H241" t="str">
        <f t="shared" si="7"/>
        <v>Dec</v>
      </c>
      <c r="I241" t="s">
        <v>20</v>
      </c>
      <c r="J241" t="s">
        <v>33</v>
      </c>
      <c r="K241" t="s">
        <v>521</v>
      </c>
      <c r="L241" t="s">
        <v>23</v>
      </c>
      <c r="M241" t="s">
        <v>24</v>
      </c>
      <c r="N241">
        <v>1</v>
      </c>
      <c r="O241" t="s">
        <v>25</v>
      </c>
      <c r="P241">
        <v>1147</v>
      </c>
      <c r="Q241" t="s">
        <v>26</v>
      </c>
      <c r="R241" t="s">
        <v>27</v>
      </c>
      <c r="S241" t="s">
        <v>28</v>
      </c>
      <c r="T241" t="s">
        <v>29</v>
      </c>
      <c r="U241" t="s">
        <v>43</v>
      </c>
    </row>
    <row r="242" spans="1:21" x14ac:dyDescent="0.25">
      <c r="A242">
        <v>241</v>
      </c>
      <c r="B242" t="s">
        <v>522</v>
      </c>
      <c r="C242">
        <v>442379</v>
      </c>
      <c r="D242" t="s">
        <v>18</v>
      </c>
      <c r="E242">
        <v>29</v>
      </c>
      <c r="F242" t="str">
        <f t="shared" si="6"/>
        <v>teenager</v>
      </c>
      <c r="G242" t="s">
        <v>19</v>
      </c>
      <c r="H242" t="str">
        <f t="shared" si="7"/>
        <v>Dec</v>
      </c>
      <c r="I242" t="s">
        <v>20</v>
      </c>
      <c r="J242" t="s">
        <v>45</v>
      </c>
      <c r="K242" t="s">
        <v>523</v>
      </c>
      <c r="L242" t="s">
        <v>23</v>
      </c>
      <c r="M242" t="s">
        <v>76</v>
      </c>
      <c r="N242">
        <v>1</v>
      </c>
      <c r="O242" t="s">
        <v>25</v>
      </c>
      <c r="P242">
        <v>1247</v>
      </c>
      <c r="Q242" t="s">
        <v>63</v>
      </c>
      <c r="R242" t="s">
        <v>64</v>
      </c>
      <c r="S242" t="s">
        <v>65</v>
      </c>
      <c r="T242" t="s">
        <v>29</v>
      </c>
      <c r="U242" t="s">
        <v>43</v>
      </c>
    </row>
    <row r="243" spans="1:21" x14ac:dyDescent="0.25">
      <c r="A243">
        <v>242</v>
      </c>
      <c r="B243" t="s">
        <v>524</v>
      </c>
      <c r="C243">
        <v>421550</v>
      </c>
      <c r="D243" t="s">
        <v>32</v>
      </c>
      <c r="E243">
        <v>64</v>
      </c>
      <c r="F243" t="str">
        <f t="shared" si="6"/>
        <v>senior</v>
      </c>
      <c r="G243" t="s">
        <v>19</v>
      </c>
      <c r="H243" t="str">
        <f t="shared" si="7"/>
        <v>Dec</v>
      </c>
      <c r="I243" t="s">
        <v>20</v>
      </c>
      <c r="J243" t="s">
        <v>21</v>
      </c>
      <c r="K243" t="s">
        <v>525</v>
      </c>
      <c r="L243" t="s">
        <v>42</v>
      </c>
      <c r="M243" t="s">
        <v>47</v>
      </c>
      <c r="N243">
        <v>1</v>
      </c>
      <c r="O243" t="s">
        <v>25</v>
      </c>
      <c r="P243">
        <v>516</v>
      </c>
      <c r="Q243" t="s">
        <v>36</v>
      </c>
      <c r="R243" t="s">
        <v>37</v>
      </c>
      <c r="S243" t="s">
        <v>38</v>
      </c>
      <c r="T243" t="s">
        <v>29</v>
      </c>
      <c r="U243" t="s">
        <v>30</v>
      </c>
    </row>
    <row r="244" spans="1:21" x14ac:dyDescent="0.25">
      <c r="A244">
        <v>243</v>
      </c>
      <c r="B244" t="s">
        <v>526</v>
      </c>
      <c r="C244">
        <v>919271</v>
      </c>
      <c r="D244" t="s">
        <v>18</v>
      </c>
      <c r="E244">
        <v>51</v>
      </c>
      <c r="F244" t="str">
        <f t="shared" si="6"/>
        <v>senior</v>
      </c>
      <c r="G244" t="s">
        <v>19</v>
      </c>
      <c r="H244" t="str">
        <f t="shared" si="7"/>
        <v>Dec</v>
      </c>
      <c r="I244" t="s">
        <v>20</v>
      </c>
      <c r="J244" t="s">
        <v>33</v>
      </c>
      <c r="K244" t="s">
        <v>527</v>
      </c>
      <c r="L244" t="s">
        <v>58</v>
      </c>
      <c r="M244" t="s">
        <v>76</v>
      </c>
      <c r="N244">
        <v>1</v>
      </c>
      <c r="O244" t="s">
        <v>25</v>
      </c>
      <c r="P244">
        <v>814</v>
      </c>
      <c r="Q244" t="s">
        <v>26</v>
      </c>
      <c r="R244" t="s">
        <v>27</v>
      </c>
      <c r="S244" t="s">
        <v>28</v>
      </c>
      <c r="T244" t="s">
        <v>29</v>
      </c>
      <c r="U244" t="s">
        <v>43</v>
      </c>
    </row>
    <row r="245" spans="1:21" x14ac:dyDescent="0.25">
      <c r="A245">
        <v>244</v>
      </c>
      <c r="B245" t="s">
        <v>528</v>
      </c>
      <c r="C245">
        <v>630266</v>
      </c>
      <c r="D245" t="s">
        <v>32</v>
      </c>
      <c r="E245">
        <v>42</v>
      </c>
      <c r="F245" t="str">
        <f t="shared" si="6"/>
        <v>adult</v>
      </c>
      <c r="G245" t="s">
        <v>19</v>
      </c>
      <c r="H245" t="str">
        <f t="shared" si="7"/>
        <v>Dec</v>
      </c>
      <c r="I245" t="s">
        <v>20</v>
      </c>
      <c r="J245" t="s">
        <v>21</v>
      </c>
      <c r="K245" t="s">
        <v>529</v>
      </c>
      <c r="L245" t="s">
        <v>23</v>
      </c>
      <c r="M245" t="s">
        <v>50</v>
      </c>
      <c r="N245">
        <v>1</v>
      </c>
      <c r="O245" t="s">
        <v>25</v>
      </c>
      <c r="P245">
        <v>968</v>
      </c>
      <c r="Q245" t="s">
        <v>63</v>
      </c>
      <c r="R245" t="s">
        <v>64</v>
      </c>
      <c r="S245" t="s">
        <v>65</v>
      </c>
      <c r="T245" t="s">
        <v>29</v>
      </c>
      <c r="U245" t="s">
        <v>43</v>
      </c>
    </row>
    <row r="246" spans="1:21" x14ac:dyDescent="0.25">
      <c r="A246">
        <v>245</v>
      </c>
      <c r="B246" t="s">
        <v>530</v>
      </c>
      <c r="C246">
        <v>707237</v>
      </c>
      <c r="D246" t="s">
        <v>18</v>
      </c>
      <c r="E246">
        <v>33</v>
      </c>
      <c r="F246" t="str">
        <f t="shared" si="6"/>
        <v>adult</v>
      </c>
      <c r="G246" t="s">
        <v>19</v>
      </c>
      <c r="H246" t="str">
        <f t="shared" si="7"/>
        <v>Dec</v>
      </c>
      <c r="I246" t="s">
        <v>20</v>
      </c>
      <c r="J246" t="s">
        <v>21</v>
      </c>
      <c r="K246" t="s">
        <v>531</v>
      </c>
      <c r="L246" t="s">
        <v>58</v>
      </c>
      <c r="M246" t="s">
        <v>24</v>
      </c>
      <c r="N246">
        <v>1</v>
      </c>
      <c r="O246" t="s">
        <v>25</v>
      </c>
      <c r="P246">
        <v>1946</v>
      </c>
      <c r="Q246" t="s">
        <v>53</v>
      </c>
      <c r="R246" t="s">
        <v>54</v>
      </c>
      <c r="S246" t="s">
        <v>55</v>
      </c>
      <c r="T246" t="s">
        <v>29</v>
      </c>
      <c r="U246" t="s">
        <v>30</v>
      </c>
    </row>
    <row r="247" spans="1:21" x14ac:dyDescent="0.25">
      <c r="A247">
        <v>246</v>
      </c>
      <c r="B247" t="s">
        <v>532</v>
      </c>
      <c r="C247">
        <v>713296</v>
      </c>
      <c r="D247" t="s">
        <v>32</v>
      </c>
      <c r="E247">
        <v>63</v>
      </c>
      <c r="F247" t="str">
        <f t="shared" si="6"/>
        <v>senior</v>
      </c>
      <c r="G247" t="s">
        <v>19</v>
      </c>
      <c r="H247" t="str">
        <f t="shared" si="7"/>
        <v>Dec</v>
      </c>
      <c r="I247" t="s">
        <v>20</v>
      </c>
      <c r="J247" t="s">
        <v>21</v>
      </c>
      <c r="K247" t="s">
        <v>533</v>
      </c>
      <c r="L247" t="s">
        <v>42</v>
      </c>
      <c r="M247" t="s">
        <v>24</v>
      </c>
      <c r="N247">
        <v>1</v>
      </c>
      <c r="O247" t="s">
        <v>25</v>
      </c>
      <c r="P247">
        <v>1986</v>
      </c>
      <c r="Q247" t="s">
        <v>26</v>
      </c>
      <c r="R247" t="s">
        <v>27</v>
      </c>
      <c r="S247" t="s">
        <v>28</v>
      </c>
      <c r="T247" t="s">
        <v>29</v>
      </c>
      <c r="U247" t="s">
        <v>30</v>
      </c>
    </row>
    <row r="248" spans="1:21" x14ac:dyDescent="0.25">
      <c r="A248">
        <v>247</v>
      </c>
      <c r="B248" t="s">
        <v>534</v>
      </c>
      <c r="C248">
        <v>905894</v>
      </c>
      <c r="D248" t="s">
        <v>18</v>
      </c>
      <c r="E248">
        <v>26</v>
      </c>
      <c r="F248" t="str">
        <f t="shared" si="6"/>
        <v>teenager</v>
      </c>
      <c r="G248" t="s">
        <v>19</v>
      </c>
      <c r="H248" t="str">
        <f t="shared" si="7"/>
        <v>Dec</v>
      </c>
      <c r="I248" t="s">
        <v>20</v>
      </c>
      <c r="J248" t="s">
        <v>21</v>
      </c>
      <c r="K248" t="s">
        <v>535</v>
      </c>
      <c r="L248" t="s">
        <v>42</v>
      </c>
      <c r="M248" t="s">
        <v>47</v>
      </c>
      <c r="N248">
        <v>1</v>
      </c>
      <c r="O248" t="s">
        <v>25</v>
      </c>
      <c r="P248">
        <v>1825</v>
      </c>
      <c r="Q248" t="s">
        <v>53</v>
      </c>
      <c r="R248" t="s">
        <v>54</v>
      </c>
      <c r="S248" t="s">
        <v>55</v>
      </c>
      <c r="T248" t="s">
        <v>29</v>
      </c>
      <c r="U248" t="s">
        <v>43</v>
      </c>
    </row>
    <row r="249" spans="1:21" x14ac:dyDescent="0.25">
      <c r="A249">
        <v>248</v>
      </c>
      <c r="B249" t="s">
        <v>536</v>
      </c>
      <c r="C249">
        <v>882260</v>
      </c>
      <c r="D249" t="s">
        <v>32</v>
      </c>
      <c r="E249">
        <v>70</v>
      </c>
      <c r="F249" t="str">
        <f t="shared" si="6"/>
        <v>senior</v>
      </c>
      <c r="G249" t="s">
        <v>19</v>
      </c>
      <c r="H249" t="str">
        <f t="shared" si="7"/>
        <v>Dec</v>
      </c>
      <c r="I249" t="s">
        <v>20</v>
      </c>
      <c r="J249" t="s">
        <v>45</v>
      </c>
      <c r="K249" t="s">
        <v>537</v>
      </c>
      <c r="L249" t="s">
        <v>58</v>
      </c>
      <c r="M249" t="s">
        <v>35</v>
      </c>
      <c r="N249">
        <v>1</v>
      </c>
      <c r="O249" t="s">
        <v>25</v>
      </c>
      <c r="P249">
        <v>569</v>
      </c>
      <c r="Q249" t="s">
        <v>26</v>
      </c>
      <c r="R249" t="s">
        <v>27</v>
      </c>
      <c r="S249" t="s">
        <v>28</v>
      </c>
      <c r="T249" t="s">
        <v>29</v>
      </c>
      <c r="U249" t="s">
        <v>30</v>
      </c>
    </row>
    <row r="250" spans="1:21" x14ac:dyDescent="0.25">
      <c r="A250">
        <v>249</v>
      </c>
      <c r="B250" t="s">
        <v>538</v>
      </c>
      <c r="C250">
        <v>536920</v>
      </c>
      <c r="D250" t="s">
        <v>18</v>
      </c>
      <c r="E250">
        <v>27</v>
      </c>
      <c r="F250" t="str">
        <f t="shared" si="6"/>
        <v>teenager</v>
      </c>
      <c r="G250" t="s">
        <v>19</v>
      </c>
      <c r="H250" t="str">
        <f t="shared" si="7"/>
        <v>Dec</v>
      </c>
      <c r="I250" t="s">
        <v>20</v>
      </c>
      <c r="J250" t="s">
        <v>33</v>
      </c>
      <c r="K250" t="s">
        <v>295</v>
      </c>
      <c r="L250" t="s">
        <v>42</v>
      </c>
      <c r="M250" t="s">
        <v>76</v>
      </c>
      <c r="N250">
        <v>1</v>
      </c>
      <c r="O250" t="s">
        <v>25</v>
      </c>
      <c r="P250">
        <v>1388</v>
      </c>
      <c r="Q250" t="s">
        <v>26</v>
      </c>
      <c r="R250" t="s">
        <v>27</v>
      </c>
      <c r="S250" t="s">
        <v>28</v>
      </c>
      <c r="T250" t="s">
        <v>29</v>
      </c>
      <c r="U250" t="s">
        <v>43</v>
      </c>
    </row>
    <row r="251" spans="1:21" x14ac:dyDescent="0.25">
      <c r="A251">
        <v>250</v>
      </c>
      <c r="B251" t="s">
        <v>539</v>
      </c>
      <c r="C251">
        <v>101420</v>
      </c>
      <c r="D251" t="s">
        <v>32</v>
      </c>
      <c r="E251">
        <v>51</v>
      </c>
      <c r="F251" t="str">
        <f t="shared" si="6"/>
        <v>senior</v>
      </c>
      <c r="G251" t="s">
        <v>19</v>
      </c>
      <c r="H251" t="str">
        <f t="shared" si="7"/>
        <v>Dec</v>
      </c>
      <c r="I251" t="s">
        <v>20</v>
      </c>
      <c r="J251" t="s">
        <v>21</v>
      </c>
      <c r="K251" t="s">
        <v>540</v>
      </c>
      <c r="L251" t="s">
        <v>23</v>
      </c>
      <c r="M251" t="s">
        <v>50</v>
      </c>
      <c r="N251">
        <v>1</v>
      </c>
      <c r="O251" t="s">
        <v>25</v>
      </c>
      <c r="P251">
        <v>378</v>
      </c>
      <c r="Q251" t="s">
        <v>26</v>
      </c>
      <c r="R251" t="s">
        <v>27</v>
      </c>
      <c r="S251" t="s">
        <v>28</v>
      </c>
      <c r="T251" t="s">
        <v>29</v>
      </c>
      <c r="U251" t="s">
        <v>30</v>
      </c>
    </row>
    <row r="252" spans="1:21" x14ac:dyDescent="0.25">
      <c r="A252">
        <v>251</v>
      </c>
      <c r="B252" t="s">
        <v>541</v>
      </c>
      <c r="C252">
        <v>584802</v>
      </c>
      <c r="D252" t="s">
        <v>18</v>
      </c>
      <c r="E252">
        <v>44</v>
      </c>
      <c r="F252" t="str">
        <f t="shared" si="6"/>
        <v>adult</v>
      </c>
      <c r="G252" t="s">
        <v>19</v>
      </c>
      <c r="H252" t="str">
        <f t="shared" si="7"/>
        <v>Dec</v>
      </c>
      <c r="I252" t="s">
        <v>20</v>
      </c>
      <c r="J252" t="s">
        <v>33</v>
      </c>
      <c r="K252" t="s">
        <v>542</v>
      </c>
      <c r="L252" t="s">
        <v>58</v>
      </c>
      <c r="M252" t="s">
        <v>50</v>
      </c>
      <c r="N252">
        <v>1</v>
      </c>
      <c r="O252" t="s">
        <v>25</v>
      </c>
      <c r="P252">
        <v>1586</v>
      </c>
      <c r="Q252" t="s">
        <v>63</v>
      </c>
      <c r="R252" t="s">
        <v>64</v>
      </c>
      <c r="S252" t="s">
        <v>65</v>
      </c>
      <c r="T252" t="s">
        <v>29</v>
      </c>
      <c r="U252" t="s">
        <v>43</v>
      </c>
    </row>
    <row r="253" spans="1:21" x14ac:dyDescent="0.25">
      <c r="A253">
        <v>252</v>
      </c>
      <c r="B253" t="s">
        <v>543</v>
      </c>
      <c r="C253">
        <v>422032</v>
      </c>
      <c r="D253" t="s">
        <v>32</v>
      </c>
      <c r="E253">
        <v>20</v>
      </c>
      <c r="F253" t="str">
        <f t="shared" si="6"/>
        <v>teenager</v>
      </c>
      <c r="G253" t="s">
        <v>19</v>
      </c>
      <c r="H253" t="str">
        <f t="shared" si="7"/>
        <v>Dec</v>
      </c>
      <c r="I253" t="s">
        <v>20</v>
      </c>
      <c r="J253" t="s">
        <v>45</v>
      </c>
      <c r="K253" t="s">
        <v>544</v>
      </c>
      <c r="L253" t="s">
        <v>42</v>
      </c>
      <c r="M253" t="s">
        <v>47</v>
      </c>
      <c r="N253">
        <v>1</v>
      </c>
      <c r="O253" t="s">
        <v>25</v>
      </c>
      <c r="P253">
        <v>1515</v>
      </c>
      <c r="Q253" t="s">
        <v>63</v>
      </c>
      <c r="R253" t="s">
        <v>64</v>
      </c>
      <c r="S253" t="s">
        <v>65</v>
      </c>
      <c r="T253" t="s">
        <v>29</v>
      </c>
      <c r="U253" t="s">
        <v>30</v>
      </c>
    </row>
    <row r="254" spans="1:21" x14ac:dyDescent="0.25">
      <c r="A254">
        <v>253</v>
      </c>
      <c r="B254" t="s">
        <v>545</v>
      </c>
      <c r="C254">
        <v>953163</v>
      </c>
      <c r="D254" t="s">
        <v>18</v>
      </c>
      <c r="E254">
        <v>59</v>
      </c>
      <c r="F254" t="str">
        <f t="shared" si="6"/>
        <v>senior</v>
      </c>
      <c r="G254" t="s">
        <v>19</v>
      </c>
      <c r="H254" t="str">
        <f t="shared" si="7"/>
        <v>Dec</v>
      </c>
      <c r="I254" t="s">
        <v>20</v>
      </c>
      <c r="J254" t="s">
        <v>45</v>
      </c>
      <c r="K254" t="s">
        <v>546</v>
      </c>
      <c r="L254" t="s">
        <v>42</v>
      </c>
      <c r="M254" t="s">
        <v>47</v>
      </c>
      <c r="N254">
        <v>1</v>
      </c>
      <c r="O254" t="s">
        <v>25</v>
      </c>
      <c r="P254">
        <v>678</v>
      </c>
      <c r="Q254" t="s">
        <v>36</v>
      </c>
      <c r="R254" t="s">
        <v>37</v>
      </c>
      <c r="S254" t="s">
        <v>38</v>
      </c>
      <c r="T254" t="s">
        <v>29</v>
      </c>
      <c r="U254" t="s">
        <v>30</v>
      </c>
    </row>
    <row r="255" spans="1:21" x14ac:dyDescent="0.25">
      <c r="A255">
        <v>254</v>
      </c>
      <c r="B255" t="s">
        <v>547</v>
      </c>
      <c r="C255">
        <v>316489</v>
      </c>
      <c r="D255" t="s">
        <v>32</v>
      </c>
      <c r="E255">
        <v>53</v>
      </c>
      <c r="F255" t="str">
        <f t="shared" si="6"/>
        <v>senior</v>
      </c>
      <c r="G255" t="s">
        <v>19</v>
      </c>
      <c r="H255" t="str">
        <f t="shared" si="7"/>
        <v>Dec</v>
      </c>
      <c r="I255" t="s">
        <v>20</v>
      </c>
      <c r="J255" t="s">
        <v>40</v>
      </c>
      <c r="K255" t="s">
        <v>548</v>
      </c>
      <c r="L255" t="s">
        <v>58</v>
      </c>
      <c r="M255" t="s">
        <v>47</v>
      </c>
      <c r="N255">
        <v>1</v>
      </c>
      <c r="O255" t="s">
        <v>25</v>
      </c>
      <c r="P255">
        <v>791</v>
      </c>
      <c r="Q255" t="s">
        <v>63</v>
      </c>
      <c r="R255" t="s">
        <v>64</v>
      </c>
      <c r="S255" t="s">
        <v>65</v>
      </c>
      <c r="T255" t="s">
        <v>29</v>
      </c>
      <c r="U255" t="s">
        <v>30</v>
      </c>
    </row>
    <row r="256" spans="1:21" x14ac:dyDescent="0.25">
      <c r="A256">
        <v>255</v>
      </c>
      <c r="B256" t="s">
        <v>549</v>
      </c>
      <c r="C256">
        <v>182839</v>
      </c>
      <c r="D256" t="s">
        <v>18</v>
      </c>
      <c r="E256">
        <v>43</v>
      </c>
      <c r="F256" t="str">
        <f t="shared" si="6"/>
        <v>adult</v>
      </c>
      <c r="G256" t="s">
        <v>19</v>
      </c>
      <c r="H256" t="str">
        <f t="shared" si="7"/>
        <v>Dec</v>
      </c>
      <c r="I256" t="s">
        <v>20</v>
      </c>
      <c r="J256" t="s">
        <v>40</v>
      </c>
      <c r="K256" t="s">
        <v>550</v>
      </c>
      <c r="L256" t="s">
        <v>23</v>
      </c>
      <c r="M256" t="s">
        <v>50</v>
      </c>
      <c r="N256">
        <v>1</v>
      </c>
      <c r="O256" t="s">
        <v>25</v>
      </c>
      <c r="P256">
        <v>979</v>
      </c>
      <c r="Q256" t="s">
        <v>26</v>
      </c>
      <c r="R256" t="s">
        <v>27</v>
      </c>
      <c r="S256" t="s">
        <v>28</v>
      </c>
      <c r="T256" t="s">
        <v>29</v>
      </c>
      <c r="U256" t="s">
        <v>43</v>
      </c>
    </row>
    <row r="257" spans="1:21" x14ac:dyDescent="0.25">
      <c r="A257">
        <v>256</v>
      </c>
      <c r="B257" t="s">
        <v>551</v>
      </c>
      <c r="C257">
        <v>702052</v>
      </c>
      <c r="D257" t="s">
        <v>32</v>
      </c>
      <c r="E257">
        <v>57</v>
      </c>
      <c r="F257" t="str">
        <f t="shared" si="6"/>
        <v>senior</v>
      </c>
      <c r="G257" t="s">
        <v>19</v>
      </c>
      <c r="H257" t="str">
        <f t="shared" si="7"/>
        <v>Dec</v>
      </c>
      <c r="I257" t="s">
        <v>20</v>
      </c>
      <c r="J257" t="s">
        <v>40</v>
      </c>
      <c r="K257" t="s">
        <v>552</v>
      </c>
      <c r="L257" t="s">
        <v>23</v>
      </c>
      <c r="M257" t="s">
        <v>24</v>
      </c>
      <c r="N257">
        <v>1</v>
      </c>
      <c r="O257" t="s">
        <v>25</v>
      </c>
      <c r="P257">
        <v>1559</v>
      </c>
      <c r="Q257" t="s">
        <v>26</v>
      </c>
      <c r="R257" t="s">
        <v>27</v>
      </c>
      <c r="S257" t="s">
        <v>28</v>
      </c>
      <c r="T257" t="s">
        <v>29</v>
      </c>
      <c r="U257" t="s">
        <v>30</v>
      </c>
    </row>
    <row r="258" spans="1:21" x14ac:dyDescent="0.25">
      <c r="A258">
        <v>257</v>
      </c>
      <c r="B258" t="s">
        <v>553</v>
      </c>
      <c r="C258">
        <v>731248</v>
      </c>
      <c r="D258" t="s">
        <v>18</v>
      </c>
      <c r="E258">
        <v>37</v>
      </c>
      <c r="F258" t="str">
        <f t="shared" si="6"/>
        <v>adult</v>
      </c>
      <c r="G258" t="s">
        <v>19</v>
      </c>
      <c r="H258" t="str">
        <f t="shared" si="7"/>
        <v>Dec</v>
      </c>
      <c r="I258" t="s">
        <v>20</v>
      </c>
      <c r="J258" t="s">
        <v>40</v>
      </c>
      <c r="K258" t="s">
        <v>554</v>
      </c>
      <c r="L258" t="s">
        <v>23</v>
      </c>
      <c r="M258" t="s">
        <v>35</v>
      </c>
      <c r="N258">
        <v>1</v>
      </c>
      <c r="O258" t="s">
        <v>25</v>
      </c>
      <c r="P258">
        <v>808</v>
      </c>
      <c r="Q258" t="s">
        <v>36</v>
      </c>
      <c r="R258" t="s">
        <v>37</v>
      </c>
      <c r="S258" t="s">
        <v>38</v>
      </c>
      <c r="T258" t="s">
        <v>29</v>
      </c>
      <c r="U258" t="s">
        <v>43</v>
      </c>
    </row>
    <row r="259" spans="1:21" x14ac:dyDescent="0.25">
      <c r="A259">
        <v>258</v>
      </c>
      <c r="B259" t="s">
        <v>555</v>
      </c>
      <c r="C259">
        <v>452342</v>
      </c>
      <c r="D259" t="s">
        <v>32</v>
      </c>
      <c r="E259">
        <v>28</v>
      </c>
      <c r="F259" t="str">
        <f t="shared" ref="F259:F322" si="8">IF(E259&gt;=50,"senior",IF(E259&gt;=30,"adult","teenager"))</f>
        <v>teenager</v>
      </c>
      <c r="G259" t="s">
        <v>19</v>
      </c>
      <c r="H259" t="str">
        <f t="shared" ref="H259:H322" si="9">TEXT(G259,"mmm")</f>
        <v>Dec</v>
      </c>
      <c r="I259" t="s">
        <v>20</v>
      </c>
      <c r="J259" t="s">
        <v>21</v>
      </c>
      <c r="K259" t="s">
        <v>556</v>
      </c>
      <c r="L259" t="s">
        <v>23</v>
      </c>
      <c r="M259" t="s">
        <v>76</v>
      </c>
      <c r="N259">
        <v>1</v>
      </c>
      <c r="O259" t="s">
        <v>25</v>
      </c>
      <c r="P259">
        <v>944</v>
      </c>
      <c r="Q259" t="s">
        <v>26</v>
      </c>
      <c r="R259" t="s">
        <v>27</v>
      </c>
      <c r="S259" t="s">
        <v>28</v>
      </c>
      <c r="T259" t="s">
        <v>29</v>
      </c>
      <c r="U259" t="s">
        <v>43</v>
      </c>
    </row>
    <row r="260" spans="1:21" x14ac:dyDescent="0.25">
      <c r="A260">
        <v>259</v>
      </c>
      <c r="B260" t="s">
        <v>557</v>
      </c>
      <c r="C260">
        <v>804502</v>
      </c>
      <c r="D260" t="s">
        <v>18</v>
      </c>
      <c r="E260">
        <v>65</v>
      </c>
      <c r="F260" t="str">
        <f t="shared" si="8"/>
        <v>senior</v>
      </c>
      <c r="G260" t="s">
        <v>19</v>
      </c>
      <c r="H260" t="str">
        <f t="shared" si="9"/>
        <v>Dec</v>
      </c>
      <c r="I260" t="s">
        <v>20</v>
      </c>
      <c r="J260" t="s">
        <v>45</v>
      </c>
      <c r="K260" t="s">
        <v>558</v>
      </c>
      <c r="L260" t="s">
        <v>58</v>
      </c>
      <c r="M260" t="s">
        <v>76</v>
      </c>
      <c r="N260">
        <v>1</v>
      </c>
      <c r="O260" t="s">
        <v>25</v>
      </c>
      <c r="P260">
        <v>937</v>
      </c>
      <c r="Q260" t="s">
        <v>63</v>
      </c>
      <c r="R260" t="s">
        <v>64</v>
      </c>
      <c r="S260" t="s">
        <v>65</v>
      </c>
      <c r="T260" t="s">
        <v>29</v>
      </c>
      <c r="U260" t="s">
        <v>43</v>
      </c>
    </row>
    <row r="261" spans="1:21" x14ac:dyDescent="0.25">
      <c r="A261">
        <v>260</v>
      </c>
      <c r="B261" t="s">
        <v>559</v>
      </c>
      <c r="C261">
        <v>764234</v>
      </c>
      <c r="D261" t="s">
        <v>32</v>
      </c>
      <c r="E261">
        <v>28</v>
      </c>
      <c r="F261" t="str">
        <f t="shared" si="8"/>
        <v>teenager</v>
      </c>
      <c r="G261" t="s">
        <v>19</v>
      </c>
      <c r="H261" t="str">
        <f t="shared" si="9"/>
        <v>Dec</v>
      </c>
      <c r="I261" t="s">
        <v>20</v>
      </c>
      <c r="J261" t="s">
        <v>45</v>
      </c>
      <c r="K261" t="s">
        <v>560</v>
      </c>
      <c r="L261" t="s">
        <v>23</v>
      </c>
      <c r="M261" t="s">
        <v>50</v>
      </c>
      <c r="N261">
        <v>1</v>
      </c>
      <c r="O261" t="s">
        <v>25</v>
      </c>
      <c r="P261">
        <v>1444</v>
      </c>
      <c r="Q261" t="s">
        <v>36</v>
      </c>
      <c r="R261" t="s">
        <v>37</v>
      </c>
      <c r="S261" t="s">
        <v>38</v>
      </c>
      <c r="T261" t="s">
        <v>29</v>
      </c>
      <c r="U261" t="s">
        <v>43</v>
      </c>
    </row>
    <row r="262" spans="1:21" x14ac:dyDescent="0.25">
      <c r="A262">
        <v>261</v>
      </c>
      <c r="B262" t="s">
        <v>561</v>
      </c>
      <c r="C262">
        <v>541314</v>
      </c>
      <c r="D262" t="s">
        <v>18</v>
      </c>
      <c r="E262">
        <v>26</v>
      </c>
      <c r="F262" t="str">
        <f t="shared" si="8"/>
        <v>teenager</v>
      </c>
      <c r="G262" t="s">
        <v>19</v>
      </c>
      <c r="H262" t="str">
        <f t="shared" si="9"/>
        <v>Dec</v>
      </c>
      <c r="I262" t="s">
        <v>20</v>
      </c>
      <c r="J262" t="s">
        <v>33</v>
      </c>
      <c r="K262" t="s">
        <v>562</v>
      </c>
      <c r="L262" t="s">
        <v>23</v>
      </c>
      <c r="M262" t="s">
        <v>47</v>
      </c>
      <c r="N262">
        <v>1</v>
      </c>
      <c r="O262" t="s">
        <v>25</v>
      </c>
      <c r="P262">
        <v>1917</v>
      </c>
      <c r="Q262" t="s">
        <v>26</v>
      </c>
      <c r="R262" t="s">
        <v>27</v>
      </c>
      <c r="S262" t="s">
        <v>28</v>
      </c>
      <c r="T262" t="s">
        <v>29</v>
      </c>
      <c r="U262" t="s">
        <v>30</v>
      </c>
    </row>
    <row r="263" spans="1:21" x14ac:dyDescent="0.25">
      <c r="A263">
        <v>262</v>
      </c>
      <c r="B263" t="s">
        <v>563</v>
      </c>
      <c r="C263">
        <v>135758</v>
      </c>
      <c r="D263" t="s">
        <v>32</v>
      </c>
      <c r="E263">
        <v>53</v>
      </c>
      <c r="F263" t="str">
        <f t="shared" si="8"/>
        <v>senior</v>
      </c>
      <c r="G263" t="s">
        <v>19</v>
      </c>
      <c r="H263" t="str">
        <f t="shared" si="9"/>
        <v>Dec</v>
      </c>
      <c r="I263" t="s">
        <v>20</v>
      </c>
      <c r="J263" t="s">
        <v>21</v>
      </c>
      <c r="K263" t="s">
        <v>564</v>
      </c>
      <c r="L263" t="s">
        <v>23</v>
      </c>
      <c r="M263" t="s">
        <v>35</v>
      </c>
      <c r="N263">
        <v>1</v>
      </c>
      <c r="O263" t="s">
        <v>25</v>
      </c>
      <c r="P263">
        <v>300</v>
      </c>
      <c r="Q263" t="s">
        <v>53</v>
      </c>
      <c r="R263" t="s">
        <v>54</v>
      </c>
      <c r="S263" t="s">
        <v>55</v>
      </c>
      <c r="T263" t="s">
        <v>29</v>
      </c>
      <c r="U263" t="s">
        <v>30</v>
      </c>
    </row>
    <row r="264" spans="1:21" x14ac:dyDescent="0.25">
      <c r="A264">
        <v>263</v>
      </c>
      <c r="B264" t="s">
        <v>565</v>
      </c>
      <c r="C264">
        <v>423928</v>
      </c>
      <c r="D264" t="s">
        <v>18</v>
      </c>
      <c r="E264">
        <v>33</v>
      </c>
      <c r="F264" t="str">
        <f t="shared" si="8"/>
        <v>adult</v>
      </c>
      <c r="G264" t="s">
        <v>19</v>
      </c>
      <c r="H264" t="str">
        <f t="shared" si="9"/>
        <v>Dec</v>
      </c>
      <c r="I264" t="s">
        <v>20</v>
      </c>
      <c r="J264" t="s">
        <v>33</v>
      </c>
      <c r="K264" t="s">
        <v>566</v>
      </c>
      <c r="L264" t="s">
        <v>23</v>
      </c>
      <c r="M264" t="s">
        <v>35</v>
      </c>
      <c r="N264">
        <v>1</v>
      </c>
      <c r="O264" t="s">
        <v>25</v>
      </c>
      <c r="P264">
        <v>1117</v>
      </c>
      <c r="Q264" t="s">
        <v>53</v>
      </c>
      <c r="R264" t="s">
        <v>54</v>
      </c>
      <c r="S264" t="s">
        <v>55</v>
      </c>
      <c r="T264" t="s">
        <v>29</v>
      </c>
      <c r="U264" t="s">
        <v>43</v>
      </c>
    </row>
    <row r="265" spans="1:21" x14ac:dyDescent="0.25">
      <c r="A265">
        <v>264</v>
      </c>
      <c r="B265" t="s">
        <v>567</v>
      </c>
      <c r="C265">
        <v>548801</v>
      </c>
      <c r="D265" t="s">
        <v>32</v>
      </c>
      <c r="E265">
        <v>68</v>
      </c>
      <c r="F265" t="str">
        <f t="shared" si="8"/>
        <v>senior</v>
      </c>
      <c r="G265" t="s">
        <v>19</v>
      </c>
      <c r="H265" t="str">
        <f t="shared" si="9"/>
        <v>Dec</v>
      </c>
      <c r="I265" t="s">
        <v>20</v>
      </c>
      <c r="J265" t="s">
        <v>45</v>
      </c>
      <c r="K265" t="s">
        <v>568</v>
      </c>
      <c r="L265" t="s">
        <v>42</v>
      </c>
      <c r="M265" t="s">
        <v>35</v>
      </c>
      <c r="N265">
        <v>1</v>
      </c>
      <c r="O265" t="s">
        <v>25</v>
      </c>
      <c r="P265">
        <v>1962</v>
      </c>
      <c r="Q265" t="s">
        <v>26</v>
      </c>
      <c r="R265" t="s">
        <v>27</v>
      </c>
      <c r="S265" t="s">
        <v>28</v>
      </c>
      <c r="T265" t="s">
        <v>29</v>
      </c>
      <c r="U265" t="s">
        <v>43</v>
      </c>
    </row>
    <row r="266" spans="1:21" x14ac:dyDescent="0.25">
      <c r="A266">
        <v>265</v>
      </c>
      <c r="B266" t="s">
        <v>569</v>
      </c>
      <c r="C266">
        <v>825067</v>
      </c>
      <c r="D266" t="s">
        <v>18</v>
      </c>
      <c r="E266">
        <v>59</v>
      </c>
      <c r="F266" t="str">
        <f t="shared" si="8"/>
        <v>senior</v>
      </c>
      <c r="G266" t="s">
        <v>19</v>
      </c>
      <c r="H266" t="str">
        <f t="shared" si="9"/>
        <v>Dec</v>
      </c>
      <c r="I266" t="s">
        <v>20</v>
      </c>
      <c r="J266" t="s">
        <v>33</v>
      </c>
      <c r="K266" t="s">
        <v>570</v>
      </c>
      <c r="L266" t="s">
        <v>58</v>
      </c>
      <c r="M266" t="s">
        <v>76</v>
      </c>
      <c r="N266">
        <v>1</v>
      </c>
      <c r="O266" t="s">
        <v>25</v>
      </c>
      <c r="P266">
        <v>321</v>
      </c>
      <c r="Q266" t="s">
        <v>53</v>
      </c>
      <c r="R266" t="s">
        <v>54</v>
      </c>
      <c r="S266" t="s">
        <v>55</v>
      </c>
      <c r="T266" t="s">
        <v>29</v>
      </c>
      <c r="U266" t="s">
        <v>30</v>
      </c>
    </row>
    <row r="267" spans="1:21" x14ac:dyDescent="0.25">
      <c r="A267">
        <v>266</v>
      </c>
      <c r="B267" t="s">
        <v>571</v>
      </c>
      <c r="C267">
        <v>301969</v>
      </c>
      <c r="D267" t="s">
        <v>32</v>
      </c>
      <c r="E267">
        <v>47</v>
      </c>
      <c r="F267" t="str">
        <f t="shared" si="8"/>
        <v>adult</v>
      </c>
      <c r="G267" t="s">
        <v>19</v>
      </c>
      <c r="H267" t="str">
        <f t="shared" si="9"/>
        <v>Dec</v>
      </c>
      <c r="I267" t="s">
        <v>20</v>
      </c>
      <c r="J267" t="s">
        <v>45</v>
      </c>
      <c r="K267" t="s">
        <v>104</v>
      </c>
      <c r="L267" t="s">
        <v>23</v>
      </c>
      <c r="M267" t="s">
        <v>35</v>
      </c>
      <c r="N267">
        <v>1</v>
      </c>
      <c r="O267" t="s">
        <v>25</v>
      </c>
      <c r="P267">
        <v>1255</v>
      </c>
      <c r="Q267" t="s">
        <v>26</v>
      </c>
      <c r="R267" t="s">
        <v>27</v>
      </c>
      <c r="S267" t="s">
        <v>28</v>
      </c>
      <c r="T267" t="s">
        <v>29</v>
      </c>
      <c r="U267" t="s">
        <v>30</v>
      </c>
    </row>
    <row r="268" spans="1:21" x14ac:dyDescent="0.25">
      <c r="A268">
        <v>267</v>
      </c>
      <c r="B268" t="s">
        <v>572</v>
      </c>
      <c r="C268">
        <v>828730</v>
      </c>
      <c r="D268" t="s">
        <v>18</v>
      </c>
      <c r="E268">
        <v>45</v>
      </c>
      <c r="F268" t="str">
        <f t="shared" si="8"/>
        <v>adult</v>
      </c>
      <c r="G268" t="s">
        <v>19</v>
      </c>
      <c r="H268" t="str">
        <f t="shared" si="9"/>
        <v>Dec</v>
      </c>
      <c r="I268" t="s">
        <v>20</v>
      </c>
      <c r="J268" t="s">
        <v>33</v>
      </c>
      <c r="K268" t="s">
        <v>573</v>
      </c>
      <c r="L268" t="s">
        <v>58</v>
      </c>
      <c r="M268" t="s">
        <v>76</v>
      </c>
      <c r="N268">
        <v>1</v>
      </c>
      <c r="O268" t="s">
        <v>25</v>
      </c>
      <c r="P268">
        <v>844</v>
      </c>
      <c r="Q268" t="s">
        <v>26</v>
      </c>
      <c r="R268" t="s">
        <v>27</v>
      </c>
      <c r="S268" t="s">
        <v>28</v>
      </c>
      <c r="T268" t="s">
        <v>29</v>
      </c>
      <c r="U268" t="s">
        <v>43</v>
      </c>
    </row>
    <row r="269" spans="1:21" x14ac:dyDescent="0.25">
      <c r="A269">
        <v>268</v>
      </c>
      <c r="B269" t="s">
        <v>574</v>
      </c>
      <c r="C269">
        <v>833446</v>
      </c>
      <c r="D269" t="s">
        <v>32</v>
      </c>
      <c r="E269">
        <v>47</v>
      </c>
      <c r="F269" t="str">
        <f t="shared" si="8"/>
        <v>adult</v>
      </c>
      <c r="G269" t="s">
        <v>19</v>
      </c>
      <c r="H269" t="str">
        <f t="shared" si="9"/>
        <v>Dec</v>
      </c>
      <c r="I269" t="s">
        <v>20</v>
      </c>
      <c r="J269" t="s">
        <v>21</v>
      </c>
      <c r="K269" t="s">
        <v>575</v>
      </c>
      <c r="L269" t="s">
        <v>58</v>
      </c>
      <c r="M269" t="s">
        <v>50</v>
      </c>
      <c r="N269">
        <v>1</v>
      </c>
      <c r="O269" t="s">
        <v>25</v>
      </c>
      <c r="P269">
        <v>1613</v>
      </c>
      <c r="Q269" t="s">
        <v>36</v>
      </c>
      <c r="R269" t="s">
        <v>37</v>
      </c>
      <c r="S269" t="s">
        <v>38</v>
      </c>
      <c r="T269" t="s">
        <v>29</v>
      </c>
      <c r="U269" t="s">
        <v>30</v>
      </c>
    </row>
    <row r="270" spans="1:21" x14ac:dyDescent="0.25">
      <c r="A270">
        <v>269</v>
      </c>
      <c r="B270" t="s">
        <v>576</v>
      </c>
      <c r="C270">
        <v>277162</v>
      </c>
      <c r="D270" t="s">
        <v>18</v>
      </c>
      <c r="E270">
        <v>37</v>
      </c>
      <c r="F270" t="str">
        <f t="shared" si="8"/>
        <v>adult</v>
      </c>
      <c r="G270" t="s">
        <v>19</v>
      </c>
      <c r="H270" t="str">
        <f t="shared" si="9"/>
        <v>Dec</v>
      </c>
      <c r="I270" t="s">
        <v>20</v>
      </c>
      <c r="J270" t="s">
        <v>45</v>
      </c>
      <c r="K270" t="s">
        <v>577</v>
      </c>
      <c r="L270" t="s">
        <v>42</v>
      </c>
      <c r="M270" t="s">
        <v>47</v>
      </c>
      <c r="N270">
        <v>1</v>
      </c>
      <c r="O270" t="s">
        <v>25</v>
      </c>
      <c r="P270">
        <v>1696</v>
      </c>
      <c r="Q270" t="s">
        <v>63</v>
      </c>
      <c r="R270" t="s">
        <v>64</v>
      </c>
      <c r="S270" t="s">
        <v>65</v>
      </c>
      <c r="T270" t="s">
        <v>29</v>
      </c>
      <c r="U270" t="s">
        <v>43</v>
      </c>
    </row>
    <row r="271" spans="1:21" x14ac:dyDescent="0.25">
      <c r="A271">
        <v>270</v>
      </c>
      <c r="B271" t="s">
        <v>578</v>
      </c>
      <c r="C271">
        <v>639497</v>
      </c>
      <c r="D271" t="s">
        <v>32</v>
      </c>
      <c r="E271">
        <v>36</v>
      </c>
      <c r="F271" t="str">
        <f t="shared" si="8"/>
        <v>adult</v>
      </c>
      <c r="G271" t="s">
        <v>19</v>
      </c>
      <c r="H271" t="str">
        <f t="shared" si="9"/>
        <v>Dec</v>
      </c>
      <c r="I271" t="s">
        <v>20</v>
      </c>
      <c r="J271" t="s">
        <v>45</v>
      </c>
      <c r="K271" t="s">
        <v>579</v>
      </c>
      <c r="L271" t="s">
        <v>42</v>
      </c>
      <c r="M271" t="s">
        <v>76</v>
      </c>
      <c r="N271">
        <v>1</v>
      </c>
      <c r="O271" t="s">
        <v>25</v>
      </c>
      <c r="P271">
        <v>926</v>
      </c>
      <c r="Q271" t="s">
        <v>53</v>
      </c>
      <c r="R271" t="s">
        <v>54</v>
      </c>
      <c r="S271" t="s">
        <v>55</v>
      </c>
      <c r="T271" t="s">
        <v>29</v>
      </c>
      <c r="U271" t="s">
        <v>30</v>
      </c>
    </row>
    <row r="272" spans="1:21" x14ac:dyDescent="0.25">
      <c r="A272">
        <v>271</v>
      </c>
      <c r="B272" t="s">
        <v>580</v>
      </c>
      <c r="C272">
        <v>990141</v>
      </c>
      <c r="D272" t="s">
        <v>18</v>
      </c>
      <c r="E272">
        <v>36</v>
      </c>
      <c r="F272" t="str">
        <f t="shared" si="8"/>
        <v>adult</v>
      </c>
      <c r="G272" t="s">
        <v>19</v>
      </c>
      <c r="H272" t="str">
        <f t="shared" si="9"/>
        <v>Dec</v>
      </c>
      <c r="I272" t="s">
        <v>20</v>
      </c>
      <c r="J272" t="s">
        <v>21</v>
      </c>
      <c r="K272" t="s">
        <v>581</v>
      </c>
      <c r="L272" t="s">
        <v>42</v>
      </c>
      <c r="M272" t="s">
        <v>50</v>
      </c>
      <c r="N272">
        <v>1</v>
      </c>
      <c r="O272" t="s">
        <v>25</v>
      </c>
      <c r="P272">
        <v>1289</v>
      </c>
      <c r="Q272" t="s">
        <v>36</v>
      </c>
      <c r="R272" t="s">
        <v>37</v>
      </c>
      <c r="S272" t="s">
        <v>38</v>
      </c>
      <c r="T272" t="s">
        <v>29</v>
      </c>
      <c r="U272" t="s">
        <v>43</v>
      </c>
    </row>
    <row r="273" spans="1:21" x14ac:dyDescent="0.25">
      <c r="A273">
        <v>272</v>
      </c>
      <c r="B273" t="s">
        <v>582</v>
      </c>
      <c r="C273">
        <v>251435</v>
      </c>
      <c r="D273" t="s">
        <v>32</v>
      </c>
      <c r="E273">
        <v>70</v>
      </c>
      <c r="F273" t="str">
        <f t="shared" si="8"/>
        <v>senior</v>
      </c>
      <c r="G273" t="s">
        <v>19</v>
      </c>
      <c r="H273" t="str">
        <f t="shared" si="9"/>
        <v>Dec</v>
      </c>
      <c r="I273" t="s">
        <v>20</v>
      </c>
      <c r="J273" t="s">
        <v>21</v>
      </c>
      <c r="K273" t="s">
        <v>583</v>
      </c>
      <c r="L273" t="s">
        <v>42</v>
      </c>
      <c r="M273" t="s">
        <v>76</v>
      </c>
      <c r="N273">
        <v>1</v>
      </c>
      <c r="O273" t="s">
        <v>25</v>
      </c>
      <c r="P273">
        <v>1484</v>
      </c>
      <c r="Q273" t="s">
        <v>63</v>
      </c>
      <c r="R273" t="s">
        <v>64</v>
      </c>
      <c r="S273" t="s">
        <v>65</v>
      </c>
      <c r="T273" t="s">
        <v>29</v>
      </c>
      <c r="U273" t="s">
        <v>43</v>
      </c>
    </row>
    <row r="274" spans="1:21" x14ac:dyDescent="0.25">
      <c r="A274">
        <v>273</v>
      </c>
      <c r="B274" t="s">
        <v>584</v>
      </c>
      <c r="C274">
        <v>960267</v>
      </c>
      <c r="D274" t="s">
        <v>18</v>
      </c>
      <c r="E274">
        <v>29</v>
      </c>
      <c r="F274" t="str">
        <f t="shared" si="8"/>
        <v>teenager</v>
      </c>
      <c r="G274" t="s">
        <v>19</v>
      </c>
      <c r="H274" t="str">
        <f t="shared" si="9"/>
        <v>Dec</v>
      </c>
      <c r="I274" t="s">
        <v>20</v>
      </c>
      <c r="J274" t="s">
        <v>40</v>
      </c>
      <c r="K274" t="s">
        <v>585</v>
      </c>
      <c r="L274" t="s">
        <v>58</v>
      </c>
      <c r="M274" t="s">
        <v>50</v>
      </c>
      <c r="N274">
        <v>1</v>
      </c>
      <c r="O274" t="s">
        <v>25</v>
      </c>
      <c r="P274">
        <v>1631</v>
      </c>
      <c r="Q274" t="s">
        <v>26</v>
      </c>
      <c r="R274" t="s">
        <v>27</v>
      </c>
      <c r="S274" t="s">
        <v>28</v>
      </c>
      <c r="T274" t="s">
        <v>29</v>
      </c>
      <c r="U274" t="s">
        <v>30</v>
      </c>
    </row>
    <row r="275" spans="1:21" x14ac:dyDescent="0.25">
      <c r="A275">
        <v>274</v>
      </c>
      <c r="B275" t="s">
        <v>586</v>
      </c>
      <c r="C275">
        <v>397348</v>
      </c>
      <c r="D275" t="s">
        <v>32</v>
      </c>
      <c r="E275">
        <v>29</v>
      </c>
      <c r="F275" t="str">
        <f t="shared" si="8"/>
        <v>teenager</v>
      </c>
      <c r="G275" t="s">
        <v>19</v>
      </c>
      <c r="H275" t="str">
        <f t="shared" si="9"/>
        <v>Dec</v>
      </c>
      <c r="I275" t="s">
        <v>20</v>
      </c>
      <c r="J275" t="s">
        <v>40</v>
      </c>
      <c r="K275" t="s">
        <v>587</v>
      </c>
      <c r="L275" t="s">
        <v>23</v>
      </c>
      <c r="M275" t="s">
        <v>76</v>
      </c>
      <c r="N275">
        <v>1</v>
      </c>
      <c r="O275" t="s">
        <v>25</v>
      </c>
      <c r="P275">
        <v>1674</v>
      </c>
      <c r="Q275" t="s">
        <v>36</v>
      </c>
      <c r="R275" t="s">
        <v>37</v>
      </c>
      <c r="S275" t="s">
        <v>38</v>
      </c>
      <c r="T275" t="s">
        <v>29</v>
      </c>
      <c r="U275" t="s">
        <v>30</v>
      </c>
    </row>
    <row r="276" spans="1:21" x14ac:dyDescent="0.25">
      <c r="A276">
        <v>275</v>
      </c>
      <c r="B276" t="s">
        <v>588</v>
      </c>
      <c r="C276">
        <v>232653</v>
      </c>
      <c r="D276" t="s">
        <v>18</v>
      </c>
      <c r="E276">
        <v>63</v>
      </c>
      <c r="F276" t="str">
        <f t="shared" si="8"/>
        <v>senior</v>
      </c>
      <c r="G276" t="s">
        <v>19</v>
      </c>
      <c r="H276" t="str">
        <f t="shared" si="9"/>
        <v>Dec</v>
      </c>
      <c r="I276" t="s">
        <v>20</v>
      </c>
      <c r="J276" t="s">
        <v>45</v>
      </c>
      <c r="K276" t="s">
        <v>589</v>
      </c>
      <c r="L276" t="s">
        <v>23</v>
      </c>
      <c r="M276" t="s">
        <v>47</v>
      </c>
      <c r="N276">
        <v>1</v>
      </c>
      <c r="O276" t="s">
        <v>25</v>
      </c>
      <c r="P276">
        <v>489</v>
      </c>
      <c r="Q276" t="s">
        <v>36</v>
      </c>
      <c r="R276" t="s">
        <v>37</v>
      </c>
      <c r="S276" t="s">
        <v>38</v>
      </c>
      <c r="T276" t="s">
        <v>29</v>
      </c>
      <c r="U276" t="s">
        <v>30</v>
      </c>
    </row>
    <row r="277" spans="1:21" x14ac:dyDescent="0.25">
      <c r="A277">
        <v>276</v>
      </c>
      <c r="B277" t="s">
        <v>590</v>
      </c>
      <c r="C277">
        <v>266715</v>
      </c>
      <c r="D277" t="s">
        <v>32</v>
      </c>
      <c r="E277">
        <v>20</v>
      </c>
      <c r="F277" t="str">
        <f t="shared" si="8"/>
        <v>teenager</v>
      </c>
      <c r="G277" t="s">
        <v>19</v>
      </c>
      <c r="H277" t="str">
        <f t="shared" si="9"/>
        <v>Dec</v>
      </c>
      <c r="I277" t="s">
        <v>20</v>
      </c>
      <c r="J277" t="s">
        <v>40</v>
      </c>
      <c r="K277" t="s">
        <v>591</v>
      </c>
      <c r="L277" t="s">
        <v>42</v>
      </c>
      <c r="M277" t="s">
        <v>35</v>
      </c>
      <c r="N277">
        <v>1</v>
      </c>
      <c r="O277" t="s">
        <v>25</v>
      </c>
      <c r="P277">
        <v>1451</v>
      </c>
      <c r="Q277" t="s">
        <v>63</v>
      </c>
      <c r="R277" t="s">
        <v>64</v>
      </c>
      <c r="S277" t="s">
        <v>65</v>
      </c>
      <c r="T277" t="s">
        <v>29</v>
      </c>
      <c r="U277" t="s">
        <v>43</v>
      </c>
    </row>
    <row r="278" spans="1:21" x14ac:dyDescent="0.25">
      <c r="A278">
        <v>277</v>
      </c>
      <c r="B278" t="s">
        <v>592</v>
      </c>
      <c r="C278">
        <v>298637</v>
      </c>
      <c r="D278" t="s">
        <v>18</v>
      </c>
      <c r="E278">
        <v>70</v>
      </c>
      <c r="F278" t="str">
        <f t="shared" si="8"/>
        <v>senior</v>
      </c>
      <c r="G278" t="s">
        <v>19</v>
      </c>
      <c r="H278" t="str">
        <f t="shared" si="9"/>
        <v>Dec</v>
      </c>
      <c r="I278" t="s">
        <v>20</v>
      </c>
      <c r="J278" t="s">
        <v>21</v>
      </c>
      <c r="K278" t="s">
        <v>593</v>
      </c>
      <c r="L278" t="s">
        <v>58</v>
      </c>
      <c r="M278" t="s">
        <v>24</v>
      </c>
      <c r="N278">
        <v>1</v>
      </c>
      <c r="O278" t="s">
        <v>25</v>
      </c>
      <c r="P278">
        <v>1549</v>
      </c>
      <c r="Q278" t="s">
        <v>53</v>
      </c>
      <c r="R278" t="s">
        <v>54</v>
      </c>
      <c r="S278" t="s">
        <v>55</v>
      </c>
      <c r="T278" t="s">
        <v>29</v>
      </c>
      <c r="U278" t="s">
        <v>30</v>
      </c>
    </row>
    <row r="279" spans="1:21" x14ac:dyDescent="0.25">
      <c r="A279">
        <v>278</v>
      </c>
      <c r="B279" t="s">
        <v>594</v>
      </c>
      <c r="C279">
        <v>691465</v>
      </c>
      <c r="D279" t="s">
        <v>32</v>
      </c>
      <c r="E279">
        <v>31</v>
      </c>
      <c r="F279" t="str">
        <f t="shared" si="8"/>
        <v>adult</v>
      </c>
      <c r="G279" t="s">
        <v>19</v>
      </c>
      <c r="H279" t="str">
        <f t="shared" si="9"/>
        <v>Dec</v>
      </c>
      <c r="I279" t="s">
        <v>20</v>
      </c>
      <c r="J279" t="s">
        <v>21</v>
      </c>
      <c r="K279" t="s">
        <v>595</v>
      </c>
      <c r="L279" t="s">
        <v>58</v>
      </c>
      <c r="M279" t="s">
        <v>35</v>
      </c>
      <c r="N279">
        <v>1</v>
      </c>
      <c r="O279" t="s">
        <v>25</v>
      </c>
      <c r="P279">
        <v>1127</v>
      </c>
      <c r="Q279" t="s">
        <v>63</v>
      </c>
      <c r="R279" t="s">
        <v>64</v>
      </c>
      <c r="S279" t="s">
        <v>65</v>
      </c>
      <c r="T279" t="s">
        <v>29</v>
      </c>
      <c r="U279" t="s">
        <v>30</v>
      </c>
    </row>
    <row r="280" spans="1:21" x14ac:dyDescent="0.25">
      <c r="A280">
        <v>279</v>
      </c>
      <c r="B280" t="s">
        <v>596</v>
      </c>
      <c r="C280">
        <v>273179</v>
      </c>
      <c r="D280" t="s">
        <v>18</v>
      </c>
      <c r="E280">
        <v>21</v>
      </c>
      <c r="F280" t="str">
        <f t="shared" si="8"/>
        <v>teenager</v>
      </c>
      <c r="G280" t="s">
        <v>19</v>
      </c>
      <c r="H280" t="str">
        <f t="shared" si="9"/>
        <v>Dec</v>
      </c>
      <c r="I280" t="s">
        <v>20</v>
      </c>
      <c r="J280" t="s">
        <v>33</v>
      </c>
      <c r="K280" t="s">
        <v>597</v>
      </c>
      <c r="L280" t="s">
        <v>23</v>
      </c>
      <c r="M280" t="s">
        <v>35</v>
      </c>
      <c r="N280">
        <v>1</v>
      </c>
      <c r="O280" t="s">
        <v>25</v>
      </c>
      <c r="P280">
        <v>840</v>
      </c>
      <c r="Q280" t="s">
        <v>36</v>
      </c>
      <c r="R280" t="s">
        <v>37</v>
      </c>
      <c r="S280" t="s">
        <v>38</v>
      </c>
      <c r="T280" t="s">
        <v>29</v>
      </c>
      <c r="U280" t="s">
        <v>43</v>
      </c>
    </row>
    <row r="281" spans="1:21" x14ac:dyDescent="0.25">
      <c r="A281">
        <v>280</v>
      </c>
      <c r="B281" t="s">
        <v>598</v>
      </c>
      <c r="C281">
        <v>246474</v>
      </c>
      <c r="D281" t="s">
        <v>32</v>
      </c>
      <c r="E281">
        <v>58</v>
      </c>
      <c r="F281" t="str">
        <f t="shared" si="8"/>
        <v>senior</v>
      </c>
      <c r="G281" t="s">
        <v>19</v>
      </c>
      <c r="H281" t="str">
        <f t="shared" si="9"/>
        <v>Dec</v>
      </c>
      <c r="I281" t="s">
        <v>20</v>
      </c>
      <c r="J281" t="s">
        <v>21</v>
      </c>
      <c r="K281" t="s">
        <v>599</v>
      </c>
      <c r="L281" t="s">
        <v>42</v>
      </c>
      <c r="M281" t="s">
        <v>50</v>
      </c>
      <c r="N281">
        <v>1</v>
      </c>
      <c r="O281" t="s">
        <v>25</v>
      </c>
      <c r="P281">
        <v>349</v>
      </c>
      <c r="Q281" t="s">
        <v>63</v>
      </c>
      <c r="R281" t="s">
        <v>64</v>
      </c>
      <c r="S281" t="s">
        <v>65</v>
      </c>
      <c r="T281" t="s">
        <v>29</v>
      </c>
      <c r="U281" t="s">
        <v>30</v>
      </c>
    </row>
    <row r="282" spans="1:21" x14ac:dyDescent="0.25">
      <c r="A282">
        <v>281</v>
      </c>
      <c r="B282" t="s">
        <v>600</v>
      </c>
      <c r="C282">
        <v>998662</v>
      </c>
      <c r="D282" t="s">
        <v>18</v>
      </c>
      <c r="E282">
        <v>49</v>
      </c>
      <c r="F282" t="str">
        <f t="shared" si="8"/>
        <v>adult</v>
      </c>
      <c r="G282" t="s">
        <v>19</v>
      </c>
      <c r="H282" t="str">
        <f t="shared" si="9"/>
        <v>Dec</v>
      </c>
      <c r="I282" t="s">
        <v>20</v>
      </c>
      <c r="J282" t="s">
        <v>40</v>
      </c>
      <c r="K282" t="s">
        <v>601</v>
      </c>
      <c r="L282" t="s">
        <v>42</v>
      </c>
      <c r="M282" t="s">
        <v>47</v>
      </c>
      <c r="N282">
        <v>1</v>
      </c>
      <c r="O282" t="s">
        <v>25</v>
      </c>
      <c r="P282">
        <v>859</v>
      </c>
      <c r="Q282" t="s">
        <v>26</v>
      </c>
      <c r="R282" t="s">
        <v>27</v>
      </c>
      <c r="S282" t="s">
        <v>28</v>
      </c>
      <c r="T282" t="s">
        <v>29</v>
      </c>
      <c r="U282" t="s">
        <v>43</v>
      </c>
    </row>
    <row r="283" spans="1:21" x14ac:dyDescent="0.25">
      <c r="A283">
        <v>282</v>
      </c>
      <c r="B283" t="s">
        <v>602</v>
      </c>
      <c r="C283">
        <v>608509</v>
      </c>
      <c r="D283" t="s">
        <v>32</v>
      </c>
      <c r="E283">
        <v>58</v>
      </c>
      <c r="F283" t="str">
        <f t="shared" si="8"/>
        <v>senior</v>
      </c>
      <c r="G283" t="s">
        <v>19</v>
      </c>
      <c r="H283" t="str">
        <f t="shared" si="9"/>
        <v>Dec</v>
      </c>
      <c r="I283" t="s">
        <v>20</v>
      </c>
      <c r="J283" t="s">
        <v>45</v>
      </c>
      <c r="K283" t="s">
        <v>603</v>
      </c>
      <c r="L283" t="s">
        <v>58</v>
      </c>
      <c r="M283" t="s">
        <v>35</v>
      </c>
      <c r="N283">
        <v>1</v>
      </c>
      <c r="O283" t="s">
        <v>25</v>
      </c>
      <c r="P283">
        <v>1729</v>
      </c>
      <c r="Q283" t="s">
        <v>36</v>
      </c>
      <c r="R283" t="s">
        <v>37</v>
      </c>
      <c r="S283" t="s">
        <v>38</v>
      </c>
      <c r="T283" t="s">
        <v>29</v>
      </c>
      <c r="U283" t="s">
        <v>43</v>
      </c>
    </row>
    <row r="284" spans="1:21" x14ac:dyDescent="0.25">
      <c r="A284">
        <v>283</v>
      </c>
      <c r="B284" t="s">
        <v>604</v>
      </c>
      <c r="C284">
        <v>370157</v>
      </c>
      <c r="D284" t="s">
        <v>18</v>
      </c>
      <c r="E284">
        <v>63</v>
      </c>
      <c r="F284" t="str">
        <f t="shared" si="8"/>
        <v>senior</v>
      </c>
      <c r="G284" t="s">
        <v>19</v>
      </c>
      <c r="H284" t="str">
        <f t="shared" si="9"/>
        <v>Dec</v>
      </c>
      <c r="I284" t="s">
        <v>20</v>
      </c>
      <c r="J284" t="s">
        <v>21</v>
      </c>
      <c r="K284" t="s">
        <v>605</v>
      </c>
      <c r="L284" t="s">
        <v>58</v>
      </c>
      <c r="M284" t="s">
        <v>47</v>
      </c>
      <c r="N284">
        <v>1</v>
      </c>
      <c r="O284" t="s">
        <v>25</v>
      </c>
      <c r="P284">
        <v>646</v>
      </c>
      <c r="Q284" t="s">
        <v>26</v>
      </c>
      <c r="R284" t="s">
        <v>27</v>
      </c>
      <c r="S284" t="s">
        <v>28</v>
      </c>
      <c r="T284" t="s">
        <v>29</v>
      </c>
      <c r="U284" t="s">
        <v>30</v>
      </c>
    </row>
    <row r="285" spans="1:21" x14ac:dyDescent="0.25">
      <c r="A285">
        <v>284</v>
      </c>
      <c r="B285" t="s">
        <v>606</v>
      </c>
      <c r="C285">
        <v>923653</v>
      </c>
      <c r="D285" t="s">
        <v>32</v>
      </c>
      <c r="E285">
        <v>55</v>
      </c>
      <c r="F285" t="str">
        <f t="shared" si="8"/>
        <v>senior</v>
      </c>
      <c r="G285" t="s">
        <v>19</v>
      </c>
      <c r="H285" t="str">
        <f t="shared" si="9"/>
        <v>Dec</v>
      </c>
      <c r="I285" t="s">
        <v>20</v>
      </c>
      <c r="J285" t="s">
        <v>40</v>
      </c>
      <c r="K285" t="s">
        <v>607</v>
      </c>
      <c r="L285" t="s">
        <v>23</v>
      </c>
      <c r="M285" t="s">
        <v>24</v>
      </c>
      <c r="N285">
        <v>1</v>
      </c>
      <c r="O285" t="s">
        <v>25</v>
      </c>
      <c r="P285">
        <v>1460</v>
      </c>
      <c r="Q285" t="s">
        <v>63</v>
      </c>
      <c r="R285" t="s">
        <v>64</v>
      </c>
      <c r="S285" t="s">
        <v>65</v>
      </c>
      <c r="T285" t="s">
        <v>29</v>
      </c>
      <c r="U285" t="s">
        <v>30</v>
      </c>
    </row>
    <row r="286" spans="1:21" x14ac:dyDescent="0.25">
      <c r="A286">
        <v>285</v>
      </c>
      <c r="B286" t="s">
        <v>608</v>
      </c>
      <c r="C286">
        <v>817158</v>
      </c>
      <c r="D286" t="s">
        <v>18</v>
      </c>
      <c r="E286">
        <v>47</v>
      </c>
      <c r="F286" t="str">
        <f t="shared" si="8"/>
        <v>adult</v>
      </c>
      <c r="G286" t="s">
        <v>19</v>
      </c>
      <c r="H286" t="str">
        <f t="shared" si="9"/>
        <v>Dec</v>
      </c>
      <c r="I286" t="s">
        <v>20</v>
      </c>
      <c r="J286" t="s">
        <v>33</v>
      </c>
      <c r="K286" t="s">
        <v>609</v>
      </c>
      <c r="L286" t="s">
        <v>23</v>
      </c>
      <c r="M286" t="s">
        <v>24</v>
      </c>
      <c r="N286">
        <v>1</v>
      </c>
      <c r="O286" t="s">
        <v>25</v>
      </c>
      <c r="P286">
        <v>1067</v>
      </c>
      <c r="Q286" t="s">
        <v>53</v>
      </c>
      <c r="R286" t="s">
        <v>54</v>
      </c>
      <c r="S286" t="s">
        <v>55</v>
      </c>
      <c r="T286" t="s">
        <v>29</v>
      </c>
      <c r="U286" t="s">
        <v>30</v>
      </c>
    </row>
    <row r="287" spans="1:21" x14ac:dyDescent="0.25">
      <c r="A287">
        <v>286</v>
      </c>
      <c r="B287" t="s">
        <v>610</v>
      </c>
      <c r="C287">
        <v>731099</v>
      </c>
      <c r="D287" t="s">
        <v>32</v>
      </c>
      <c r="E287">
        <v>38</v>
      </c>
      <c r="F287" t="str">
        <f t="shared" si="8"/>
        <v>adult</v>
      </c>
      <c r="G287" t="s">
        <v>19</v>
      </c>
      <c r="H287" t="str">
        <f t="shared" si="9"/>
        <v>Dec</v>
      </c>
      <c r="I287" t="s">
        <v>20</v>
      </c>
      <c r="J287" t="s">
        <v>45</v>
      </c>
      <c r="K287" t="s">
        <v>611</v>
      </c>
      <c r="L287" t="s">
        <v>42</v>
      </c>
      <c r="M287" t="s">
        <v>47</v>
      </c>
      <c r="N287">
        <v>1</v>
      </c>
      <c r="O287" t="s">
        <v>25</v>
      </c>
      <c r="P287">
        <v>387</v>
      </c>
      <c r="Q287" t="s">
        <v>63</v>
      </c>
      <c r="R287" t="s">
        <v>64</v>
      </c>
      <c r="S287" t="s">
        <v>65</v>
      </c>
      <c r="T287" t="s">
        <v>29</v>
      </c>
      <c r="U287" t="s">
        <v>30</v>
      </c>
    </row>
    <row r="288" spans="1:21" x14ac:dyDescent="0.25">
      <c r="A288">
        <v>287</v>
      </c>
      <c r="B288" t="s">
        <v>612</v>
      </c>
      <c r="C288">
        <v>419434</v>
      </c>
      <c r="D288" t="s">
        <v>18</v>
      </c>
      <c r="E288">
        <v>33</v>
      </c>
      <c r="F288" t="str">
        <f t="shared" si="8"/>
        <v>adult</v>
      </c>
      <c r="G288" t="s">
        <v>19</v>
      </c>
      <c r="H288" t="str">
        <f t="shared" si="9"/>
        <v>Dec</v>
      </c>
      <c r="I288" t="s">
        <v>20</v>
      </c>
      <c r="J288" t="s">
        <v>45</v>
      </c>
      <c r="K288" t="s">
        <v>613</v>
      </c>
      <c r="L288" t="s">
        <v>58</v>
      </c>
      <c r="M288" t="s">
        <v>24</v>
      </c>
      <c r="N288">
        <v>1</v>
      </c>
      <c r="O288" t="s">
        <v>25</v>
      </c>
      <c r="P288">
        <v>1849</v>
      </c>
      <c r="Q288" t="s">
        <v>26</v>
      </c>
      <c r="R288" t="s">
        <v>27</v>
      </c>
      <c r="S288" t="s">
        <v>28</v>
      </c>
      <c r="T288" t="s">
        <v>29</v>
      </c>
      <c r="U288" t="s">
        <v>43</v>
      </c>
    </row>
    <row r="289" spans="1:21" x14ac:dyDescent="0.25">
      <c r="A289">
        <v>288</v>
      </c>
      <c r="B289" t="s">
        <v>614</v>
      </c>
      <c r="C289">
        <v>399962</v>
      </c>
      <c r="D289" t="s">
        <v>32</v>
      </c>
      <c r="E289">
        <v>52</v>
      </c>
      <c r="F289" t="str">
        <f t="shared" si="8"/>
        <v>senior</v>
      </c>
      <c r="G289" t="s">
        <v>19</v>
      </c>
      <c r="H289" t="str">
        <f t="shared" si="9"/>
        <v>Dec</v>
      </c>
      <c r="I289" t="s">
        <v>20</v>
      </c>
      <c r="J289" t="s">
        <v>45</v>
      </c>
      <c r="K289" t="s">
        <v>615</v>
      </c>
      <c r="L289" t="s">
        <v>58</v>
      </c>
      <c r="M289" t="s">
        <v>47</v>
      </c>
      <c r="N289">
        <v>1</v>
      </c>
      <c r="O289" t="s">
        <v>25</v>
      </c>
      <c r="P289">
        <v>724</v>
      </c>
      <c r="Q289" t="s">
        <v>63</v>
      </c>
      <c r="R289" t="s">
        <v>64</v>
      </c>
      <c r="S289" t="s">
        <v>65</v>
      </c>
      <c r="T289" t="s">
        <v>29</v>
      </c>
      <c r="U289" t="s">
        <v>30</v>
      </c>
    </row>
    <row r="290" spans="1:21" x14ac:dyDescent="0.25">
      <c r="A290">
        <v>289</v>
      </c>
      <c r="B290" t="s">
        <v>616</v>
      </c>
      <c r="C290">
        <v>115649</v>
      </c>
      <c r="D290" t="s">
        <v>18</v>
      </c>
      <c r="E290">
        <v>53</v>
      </c>
      <c r="F290" t="str">
        <f t="shared" si="8"/>
        <v>senior</v>
      </c>
      <c r="G290" t="s">
        <v>19</v>
      </c>
      <c r="H290" t="str">
        <f t="shared" si="9"/>
        <v>Dec</v>
      </c>
      <c r="I290" t="s">
        <v>20</v>
      </c>
      <c r="J290" t="s">
        <v>33</v>
      </c>
      <c r="K290" t="s">
        <v>617</v>
      </c>
      <c r="L290" t="s">
        <v>58</v>
      </c>
      <c r="M290" t="s">
        <v>50</v>
      </c>
      <c r="N290">
        <v>1</v>
      </c>
      <c r="O290" t="s">
        <v>25</v>
      </c>
      <c r="P290">
        <v>1550</v>
      </c>
      <c r="Q290" t="s">
        <v>36</v>
      </c>
      <c r="R290" t="s">
        <v>37</v>
      </c>
      <c r="S290" t="s">
        <v>38</v>
      </c>
      <c r="T290" t="s">
        <v>29</v>
      </c>
      <c r="U290" t="s">
        <v>30</v>
      </c>
    </row>
    <row r="291" spans="1:21" x14ac:dyDescent="0.25">
      <c r="A291">
        <v>290</v>
      </c>
      <c r="B291" t="s">
        <v>618</v>
      </c>
      <c r="C291">
        <v>369204</v>
      </c>
      <c r="D291" t="s">
        <v>32</v>
      </c>
      <c r="E291">
        <v>53</v>
      </c>
      <c r="F291" t="str">
        <f t="shared" si="8"/>
        <v>senior</v>
      </c>
      <c r="G291" t="s">
        <v>19</v>
      </c>
      <c r="H291" t="str">
        <f t="shared" si="9"/>
        <v>Dec</v>
      </c>
      <c r="I291" t="s">
        <v>20</v>
      </c>
      <c r="J291" t="s">
        <v>40</v>
      </c>
      <c r="K291" t="s">
        <v>619</v>
      </c>
      <c r="L291" t="s">
        <v>42</v>
      </c>
      <c r="M291" t="s">
        <v>24</v>
      </c>
      <c r="N291">
        <v>1</v>
      </c>
      <c r="O291" t="s">
        <v>25</v>
      </c>
      <c r="P291">
        <v>818</v>
      </c>
      <c r="Q291" t="s">
        <v>36</v>
      </c>
      <c r="R291" t="s">
        <v>37</v>
      </c>
      <c r="S291" t="s">
        <v>38</v>
      </c>
      <c r="T291" t="s">
        <v>29</v>
      </c>
      <c r="U291" t="s">
        <v>30</v>
      </c>
    </row>
    <row r="292" spans="1:21" x14ac:dyDescent="0.25">
      <c r="A292">
        <v>291</v>
      </c>
      <c r="B292" t="s">
        <v>620</v>
      </c>
      <c r="C292">
        <v>440633</v>
      </c>
      <c r="D292" t="s">
        <v>18</v>
      </c>
      <c r="E292">
        <v>19</v>
      </c>
      <c r="F292" t="str">
        <f t="shared" si="8"/>
        <v>teenager</v>
      </c>
      <c r="G292" t="s">
        <v>19</v>
      </c>
      <c r="H292" t="str">
        <f t="shared" si="9"/>
        <v>Dec</v>
      </c>
      <c r="I292" t="s">
        <v>20</v>
      </c>
      <c r="J292" t="s">
        <v>21</v>
      </c>
      <c r="K292" t="s">
        <v>621</v>
      </c>
      <c r="L292" t="s">
        <v>58</v>
      </c>
      <c r="M292" t="s">
        <v>50</v>
      </c>
      <c r="N292">
        <v>1</v>
      </c>
      <c r="O292" t="s">
        <v>25</v>
      </c>
      <c r="P292">
        <v>1017</v>
      </c>
      <c r="Q292" t="s">
        <v>36</v>
      </c>
      <c r="R292" t="s">
        <v>37</v>
      </c>
      <c r="S292" t="s">
        <v>38</v>
      </c>
      <c r="T292" t="s">
        <v>29</v>
      </c>
      <c r="U292" t="s">
        <v>30</v>
      </c>
    </row>
    <row r="293" spans="1:21" x14ac:dyDescent="0.25">
      <c r="A293">
        <v>292</v>
      </c>
      <c r="B293" t="s">
        <v>622</v>
      </c>
      <c r="C293">
        <v>329306</v>
      </c>
      <c r="D293" t="s">
        <v>32</v>
      </c>
      <c r="E293">
        <v>42</v>
      </c>
      <c r="F293" t="str">
        <f t="shared" si="8"/>
        <v>adult</v>
      </c>
      <c r="G293" t="s">
        <v>19</v>
      </c>
      <c r="H293" t="str">
        <f t="shared" si="9"/>
        <v>Dec</v>
      </c>
      <c r="I293" t="s">
        <v>20</v>
      </c>
      <c r="J293" t="s">
        <v>40</v>
      </c>
      <c r="K293" t="s">
        <v>623</v>
      </c>
      <c r="L293" t="s">
        <v>58</v>
      </c>
      <c r="M293" t="s">
        <v>24</v>
      </c>
      <c r="N293">
        <v>1</v>
      </c>
      <c r="O293" t="s">
        <v>25</v>
      </c>
      <c r="P293">
        <v>1315</v>
      </c>
      <c r="Q293" t="s">
        <v>63</v>
      </c>
      <c r="R293" t="s">
        <v>64</v>
      </c>
      <c r="S293" t="s">
        <v>65</v>
      </c>
      <c r="T293" t="s">
        <v>29</v>
      </c>
      <c r="U293" t="s">
        <v>43</v>
      </c>
    </row>
    <row r="294" spans="1:21" x14ac:dyDescent="0.25">
      <c r="A294">
        <v>293</v>
      </c>
      <c r="B294" t="s">
        <v>624</v>
      </c>
      <c r="C294">
        <v>577949</v>
      </c>
      <c r="D294" t="s">
        <v>18</v>
      </c>
      <c r="E294">
        <v>33</v>
      </c>
      <c r="F294" t="str">
        <f t="shared" si="8"/>
        <v>adult</v>
      </c>
      <c r="G294" t="s">
        <v>19</v>
      </c>
      <c r="H294" t="str">
        <f t="shared" si="9"/>
        <v>Dec</v>
      </c>
      <c r="I294" t="s">
        <v>20</v>
      </c>
      <c r="J294" t="s">
        <v>40</v>
      </c>
      <c r="K294" t="s">
        <v>625</v>
      </c>
      <c r="L294" t="s">
        <v>58</v>
      </c>
      <c r="M294" t="s">
        <v>24</v>
      </c>
      <c r="N294">
        <v>1</v>
      </c>
      <c r="O294" t="s">
        <v>25</v>
      </c>
      <c r="P294">
        <v>1582</v>
      </c>
      <c r="Q294" t="s">
        <v>53</v>
      </c>
      <c r="R294" t="s">
        <v>54</v>
      </c>
      <c r="S294" t="s">
        <v>55</v>
      </c>
      <c r="T294" t="s">
        <v>29</v>
      </c>
      <c r="U294" t="s">
        <v>43</v>
      </c>
    </row>
    <row r="295" spans="1:21" x14ac:dyDescent="0.25">
      <c r="A295">
        <v>294</v>
      </c>
      <c r="B295" t="s">
        <v>626</v>
      </c>
      <c r="C295">
        <v>980207</v>
      </c>
      <c r="D295" t="s">
        <v>32</v>
      </c>
      <c r="E295">
        <v>48</v>
      </c>
      <c r="F295" t="str">
        <f t="shared" si="8"/>
        <v>adult</v>
      </c>
      <c r="G295" t="s">
        <v>19</v>
      </c>
      <c r="H295" t="str">
        <f t="shared" si="9"/>
        <v>Dec</v>
      </c>
      <c r="I295" t="s">
        <v>20</v>
      </c>
      <c r="J295" t="s">
        <v>40</v>
      </c>
      <c r="K295" t="s">
        <v>627</v>
      </c>
      <c r="L295" t="s">
        <v>58</v>
      </c>
      <c r="M295" t="s">
        <v>76</v>
      </c>
      <c r="N295">
        <v>1</v>
      </c>
      <c r="O295" t="s">
        <v>25</v>
      </c>
      <c r="P295">
        <v>403</v>
      </c>
      <c r="Q295" t="s">
        <v>36</v>
      </c>
      <c r="R295" t="s">
        <v>37</v>
      </c>
      <c r="S295" t="s">
        <v>38</v>
      </c>
      <c r="T295" t="s">
        <v>29</v>
      </c>
      <c r="U295" t="s">
        <v>43</v>
      </c>
    </row>
    <row r="296" spans="1:21" x14ac:dyDescent="0.25">
      <c r="A296">
        <v>295</v>
      </c>
      <c r="B296" t="s">
        <v>628</v>
      </c>
      <c r="C296">
        <v>953983</v>
      </c>
      <c r="D296" t="s">
        <v>18</v>
      </c>
      <c r="E296">
        <v>35</v>
      </c>
      <c r="F296" t="str">
        <f t="shared" si="8"/>
        <v>adult</v>
      </c>
      <c r="G296" t="s">
        <v>19</v>
      </c>
      <c r="H296" t="str">
        <f t="shared" si="9"/>
        <v>Dec</v>
      </c>
      <c r="I296" t="s">
        <v>20</v>
      </c>
      <c r="J296" t="s">
        <v>45</v>
      </c>
      <c r="K296" t="s">
        <v>629</v>
      </c>
      <c r="L296" t="s">
        <v>58</v>
      </c>
      <c r="M296" t="s">
        <v>24</v>
      </c>
      <c r="N296">
        <v>1</v>
      </c>
      <c r="O296" t="s">
        <v>25</v>
      </c>
      <c r="P296">
        <v>1684</v>
      </c>
      <c r="Q296" t="s">
        <v>26</v>
      </c>
      <c r="R296" t="s">
        <v>27</v>
      </c>
      <c r="S296" t="s">
        <v>28</v>
      </c>
      <c r="T296" t="s">
        <v>29</v>
      </c>
      <c r="U296" t="s">
        <v>30</v>
      </c>
    </row>
    <row r="297" spans="1:21" x14ac:dyDescent="0.25">
      <c r="A297">
        <v>296</v>
      </c>
      <c r="B297" t="s">
        <v>630</v>
      </c>
      <c r="C297">
        <v>546654</v>
      </c>
      <c r="D297" t="s">
        <v>32</v>
      </c>
      <c r="E297">
        <v>27</v>
      </c>
      <c r="F297" t="str">
        <f t="shared" si="8"/>
        <v>teenager</v>
      </c>
      <c r="G297" t="s">
        <v>19</v>
      </c>
      <c r="H297" t="str">
        <f t="shared" si="9"/>
        <v>Dec</v>
      </c>
      <c r="I297" t="s">
        <v>20</v>
      </c>
      <c r="J297" t="s">
        <v>33</v>
      </c>
      <c r="K297" t="s">
        <v>631</v>
      </c>
      <c r="L297" t="s">
        <v>42</v>
      </c>
      <c r="M297" t="s">
        <v>50</v>
      </c>
      <c r="N297">
        <v>1</v>
      </c>
      <c r="O297" t="s">
        <v>25</v>
      </c>
      <c r="P297">
        <v>1462</v>
      </c>
      <c r="Q297" t="s">
        <v>36</v>
      </c>
      <c r="R297" t="s">
        <v>37</v>
      </c>
      <c r="S297" t="s">
        <v>38</v>
      </c>
      <c r="T297" t="s">
        <v>29</v>
      </c>
      <c r="U297" t="s">
        <v>43</v>
      </c>
    </row>
    <row r="298" spans="1:21" x14ac:dyDescent="0.25">
      <c r="A298">
        <v>297</v>
      </c>
      <c r="B298" t="s">
        <v>632</v>
      </c>
      <c r="C298">
        <v>360817</v>
      </c>
      <c r="D298" t="s">
        <v>18</v>
      </c>
      <c r="E298">
        <v>24</v>
      </c>
      <c r="F298" t="str">
        <f t="shared" si="8"/>
        <v>teenager</v>
      </c>
      <c r="G298" t="s">
        <v>19</v>
      </c>
      <c r="H298" t="str">
        <f t="shared" si="9"/>
        <v>Dec</v>
      </c>
      <c r="I298" t="s">
        <v>20</v>
      </c>
      <c r="J298" t="s">
        <v>21</v>
      </c>
      <c r="K298" t="s">
        <v>633</v>
      </c>
      <c r="L298" t="s">
        <v>42</v>
      </c>
      <c r="M298" t="s">
        <v>24</v>
      </c>
      <c r="N298">
        <v>1</v>
      </c>
      <c r="O298" t="s">
        <v>25</v>
      </c>
      <c r="P298">
        <v>1085</v>
      </c>
      <c r="Q298" t="s">
        <v>26</v>
      </c>
      <c r="R298" t="s">
        <v>27</v>
      </c>
      <c r="S298" t="s">
        <v>28</v>
      </c>
      <c r="T298" t="s">
        <v>29</v>
      </c>
      <c r="U298" t="s">
        <v>30</v>
      </c>
    </row>
    <row r="299" spans="1:21" x14ac:dyDescent="0.25">
      <c r="A299">
        <v>298</v>
      </c>
      <c r="B299" t="s">
        <v>634</v>
      </c>
      <c r="C299">
        <v>989164</v>
      </c>
      <c r="D299" t="s">
        <v>32</v>
      </c>
      <c r="E299">
        <v>20</v>
      </c>
      <c r="F299" t="str">
        <f t="shared" si="8"/>
        <v>teenager</v>
      </c>
      <c r="G299" t="s">
        <v>19</v>
      </c>
      <c r="H299" t="str">
        <f t="shared" si="9"/>
        <v>Dec</v>
      </c>
      <c r="I299" t="s">
        <v>20</v>
      </c>
      <c r="J299" t="s">
        <v>40</v>
      </c>
      <c r="K299" t="s">
        <v>635</v>
      </c>
      <c r="L299" t="s">
        <v>58</v>
      </c>
      <c r="M299" t="s">
        <v>50</v>
      </c>
      <c r="N299">
        <v>1</v>
      </c>
      <c r="O299" t="s">
        <v>25</v>
      </c>
      <c r="P299">
        <v>1001</v>
      </c>
      <c r="Q299" t="s">
        <v>53</v>
      </c>
      <c r="R299" t="s">
        <v>54</v>
      </c>
      <c r="S299" t="s">
        <v>55</v>
      </c>
      <c r="T299" t="s">
        <v>29</v>
      </c>
      <c r="U299" t="s">
        <v>30</v>
      </c>
    </row>
    <row r="300" spans="1:21" x14ac:dyDescent="0.25">
      <c r="A300">
        <v>299</v>
      </c>
      <c r="B300" t="s">
        <v>636</v>
      </c>
      <c r="C300">
        <v>441705</v>
      </c>
      <c r="D300" t="s">
        <v>18</v>
      </c>
      <c r="E300">
        <v>70</v>
      </c>
      <c r="F300" t="str">
        <f t="shared" si="8"/>
        <v>senior</v>
      </c>
      <c r="G300" t="s">
        <v>19</v>
      </c>
      <c r="H300" t="str">
        <f t="shared" si="9"/>
        <v>Dec</v>
      </c>
      <c r="I300" t="s">
        <v>20</v>
      </c>
      <c r="J300" t="s">
        <v>21</v>
      </c>
      <c r="K300" t="s">
        <v>637</v>
      </c>
      <c r="L300" t="s">
        <v>42</v>
      </c>
      <c r="M300" t="s">
        <v>24</v>
      </c>
      <c r="N300">
        <v>1</v>
      </c>
      <c r="O300" t="s">
        <v>25</v>
      </c>
      <c r="P300">
        <v>1950</v>
      </c>
      <c r="Q300" t="s">
        <v>63</v>
      </c>
      <c r="R300" t="s">
        <v>64</v>
      </c>
      <c r="S300" t="s">
        <v>65</v>
      </c>
      <c r="T300" t="s">
        <v>29</v>
      </c>
      <c r="U300" t="s">
        <v>30</v>
      </c>
    </row>
    <row r="301" spans="1:21" x14ac:dyDescent="0.25">
      <c r="A301">
        <v>300</v>
      </c>
      <c r="B301" t="s">
        <v>638</v>
      </c>
      <c r="C301">
        <v>381172</v>
      </c>
      <c r="D301" t="s">
        <v>32</v>
      </c>
      <c r="E301">
        <v>61</v>
      </c>
      <c r="F301" t="str">
        <f t="shared" si="8"/>
        <v>senior</v>
      </c>
      <c r="G301" t="s">
        <v>19</v>
      </c>
      <c r="H301" t="str">
        <f t="shared" si="9"/>
        <v>Dec</v>
      </c>
      <c r="I301" t="s">
        <v>20</v>
      </c>
      <c r="J301" t="s">
        <v>21</v>
      </c>
      <c r="K301" t="s">
        <v>639</v>
      </c>
      <c r="L301" t="s">
        <v>23</v>
      </c>
      <c r="M301" t="s">
        <v>50</v>
      </c>
      <c r="N301">
        <v>1</v>
      </c>
      <c r="O301" t="s">
        <v>25</v>
      </c>
      <c r="P301">
        <v>621</v>
      </c>
      <c r="Q301" t="s">
        <v>53</v>
      </c>
      <c r="R301" t="s">
        <v>54</v>
      </c>
      <c r="S301" t="s">
        <v>55</v>
      </c>
      <c r="T301" t="s">
        <v>29</v>
      </c>
      <c r="U301" t="s">
        <v>43</v>
      </c>
    </row>
    <row r="302" spans="1:21" x14ac:dyDescent="0.25">
      <c r="A302">
        <v>301</v>
      </c>
      <c r="B302" t="s">
        <v>640</v>
      </c>
      <c r="C302">
        <v>850544</v>
      </c>
      <c r="D302" t="s">
        <v>18</v>
      </c>
      <c r="E302">
        <v>26</v>
      </c>
      <c r="F302" t="str">
        <f t="shared" si="8"/>
        <v>teenager</v>
      </c>
      <c r="G302" t="s">
        <v>19</v>
      </c>
      <c r="H302" t="str">
        <f t="shared" si="9"/>
        <v>Dec</v>
      </c>
      <c r="I302" t="s">
        <v>20</v>
      </c>
      <c r="J302" t="s">
        <v>45</v>
      </c>
      <c r="K302" t="s">
        <v>641</v>
      </c>
      <c r="L302" t="s">
        <v>58</v>
      </c>
      <c r="M302" t="s">
        <v>24</v>
      </c>
      <c r="N302">
        <v>1</v>
      </c>
      <c r="O302" t="s">
        <v>25</v>
      </c>
      <c r="P302">
        <v>1597</v>
      </c>
      <c r="Q302" t="s">
        <v>53</v>
      </c>
      <c r="R302" t="s">
        <v>54</v>
      </c>
      <c r="S302" t="s">
        <v>55</v>
      </c>
      <c r="T302" t="s">
        <v>29</v>
      </c>
      <c r="U302" t="s">
        <v>43</v>
      </c>
    </row>
    <row r="303" spans="1:21" x14ac:dyDescent="0.25">
      <c r="A303">
        <v>302</v>
      </c>
      <c r="B303" t="s">
        <v>642</v>
      </c>
      <c r="C303">
        <v>418018</v>
      </c>
      <c r="D303" t="s">
        <v>32</v>
      </c>
      <c r="E303">
        <v>48</v>
      </c>
      <c r="F303" t="str">
        <f t="shared" si="8"/>
        <v>adult</v>
      </c>
      <c r="G303" t="s">
        <v>19</v>
      </c>
      <c r="H303" t="str">
        <f t="shared" si="9"/>
        <v>Dec</v>
      </c>
      <c r="I303" t="s">
        <v>20</v>
      </c>
      <c r="J303" t="s">
        <v>45</v>
      </c>
      <c r="K303" t="s">
        <v>643</v>
      </c>
      <c r="L303" t="s">
        <v>23</v>
      </c>
      <c r="M303" t="s">
        <v>50</v>
      </c>
      <c r="N303">
        <v>1</v>
      </c>
      <c r="O303" t="s">
        <v>25</v>
      </c>
      <c r="P303">
        <v>877</v>
      </c>
      <c r="Q303" t="s">
        <v>53</v>
      </c>
      <c r="R303" t="s">
        <v>54</v>
      </c>
      <c r="S303" t="s">
        <v>55</v>
      </c>
      <c r="T303" t="s">
        <v>29</v>
      </c>
      <c r="U303" t="s">
        <v>43</v>
      </c>
    </row>
    <row r="304" spans="1:21" x14ac:dyDescent="0.25">
      <c r="A304">
        <v>303</v>
      </c>
      <c r="B304" t="s">
        <v>644</v>
      </c>
      <c r="C304">
        <v>461316</v>
      </c>
      <c r="D304" t="s">
        <v>18</v>
      </c>
      <c r="E304">
        <v>49</v>
      </c>
      <c r="F304" t="str">
        <f t="shared" si="8"/>
        <v>adult</v>
      </c>
      <c r="G304" t="s">
        <v>19</v>
      </c>
      <c r="H304" t="str">
        <f t="shared" si="9"/>
        <v>Dec</v>
      </c>
      <c r="I304" t="s">
        <v>20</v>
      </c>
      <c r="J304" t="s">
        <v>45</v>
      </c>
      <c r="K304" t="s">
        <v>645</v>
      </c>
      <c r="L304" t="s">
        <v>58</v>
      </c>
      <c r="M304" t="s">
        <v>35</v>
      </c>
      <c r="N304">
        <v>1</v>
      </c>
      <c r="O304" t="s">
        <v>25</v>
      </c>
      <c r="P304">
        <v>1206</v>
      </c>
      <c r="Q304" t="s">
        <v>26</v>
      </c>
      <c r="R304" t="s">
        <v>27</v>
      </c>
      <c r="S304" t="s">
        <v>28</v>
      </c>
      <c r="T304" t="s">
        <v>29</v>
      </c>
      <c r="U304" t="s">
        <v>43</v>
      </c>
    </row>
    <row r="305" spans="1:21" x14ac:dyDescent="0.25">
      <c r="A305">
        <v>304</v>
      </c>
      <c r="B305" t="s">
        <v>646</v>
      </c>
      <c r="C305">
        <v>860261</v>
      </c>
      <c r="D305" t="s">
        <v>32</v>
      </c>
      <c r="E305">
        <v>34</v>
      </c>
      <c r="F305" t="str">
        <f t="shared" si="8"/>
        <v>adult</v>
      </c>
      <c r="G305" t="s">
        <v>19</v>
      </c>
      <c r="H305" t="str">
        <f t="shared" si="9"/>
        <v>Dec</v>
      </c>
      <c r="I305" t="s">
        <v>20</v>
      </c>
      <c r="J305" t="s">
        <v>21</v>
      </c>
      <c r="K305" t="s">
        <v>647</v>
      </c>
      <c r="L305" t="s">
        <v>23</v>
      </c>
      <c r="M305" t="s">
        <v>47</v>
      </c>
      <c r="N305">
        <v>1</v>
      </c>
      <c r="O305" t="s">
        <v>25</v>
      </c>
      <c r="P305">
        <v>1757</v>
      </c>
      <c r="Q305" t="s">
        <v>53</v>
      </c>
      <c r="R305" t="s">
        <v>54</v>
      </c>
      <c r="S305" t="s">
        <v>55</v>
      </c>
      <c r="T305" t="s">
        <v>29</v>
      </c>
      <c r="U305" t="s">
        <v>43</v>
      </c>
    </row>
    <row r="306" spans="1:21" x14ac:dyDescent="0.25">
      <c r="A306">
        <v>305</v>
      </c>
      <c r="B306" t="s">
        <v>648</v>
      </c>
      <c r="C306">
        <v>634573</v>
      </c>
      <c r="D306" t="s">
        <v>18</v>
      </c>
      <c r="E306">
        <v>55</v>
      </c>
      <c r="F306" t="str">
        <f t="shared" si="8"/>
        <v>senior</v>
      </c>
      <c r="G306" t="s">
        <v>19</v>
      </c>
      <c r="H306" t="str">
        <f t="shared" si="9"/>
        <v>Dec</v>
      </c>
      <c r="I306" t="s">
        <v>20</v>
      </c>
      <c r="J306" t="s">
        <v>45</v>
      </c>
      <c r="K306" t="s">
        <v>649</v>
      </c>
      <c r="L306" t="s">
        <v>42</v>
      </c>
      <c r="M306" t="s">
        <v>50</v>
      </c>
      <c r="N306">
        <v>1</v>
      </c>
      <c r="O306" t="s">
        <v>25</v>
      </c>
      <c r="P306">
        <v>1808</v>
      </c>
      <c r="Q306" t="s">
        <v>63</v>
      </c>
      <c r="R306" t="s">
        <v>64</v>
      </c>
      <c r="S306" t="s">
        <v>65</v>
      </c>
      <c r="T306" t="s">
        <v>29</v>
      </c>
      <c r="U306" t="s">
        <v>43</v>
      </c>
    </row>
    <row r="307" spans="1:21" x14ac:dyDescent="0.25">
      <c r="A307">
        <v>306</v>
      </c>
      <c r="B307" t="s">
        <v>650</v>
      </c>
      <c r="C307">
        <v>683169</v>
      </c>
      <c r="D307" t="s">
        <v>32</v>
      </c>
      <c r="E307">
        <v>29</v>
      </c>
      <c r="F307" t="str">
        <f t="shared" si="8"/>
        <v>teenager</v>
      </c>
      <c r="G307" t="s">
        <v>19</v>
      </c>
      <c r="H307" t="str">
        <f t="shared" si="9"/>
        <v>Dec</v>
      </c>
      <c r="I307" t="s">
        <v>20</v>
      </c>
      <c r="J307" t="s">
        <v>45</v>
      </c>
      <c r="K307" t="s">
        <v>651</v>
      </c>
      <c r="L307" t="s">
        <v>42</v>
      </c>
      <c r="M307" t="s">
        <v>35</v>
      </c>
      <c r="N307">
        <v>1</v>
      </c>
      <c r="O307" t="s">
        <v>25</v>
      </c>
      <c r="P307">
        <v>1360</v>
      </c>
      <c r="Q307" t="s">
        <v>53</v>
      </c>
      <c r="R307" t="s">
        <v>54</v>
      </c>
      <c r="S307" t="s">
        <v>55</v>
      </c>
      <c r="T307" t="s">
        <v>29</v>
      </c>
      <c r="U307" t="s">
        <v>43</v>
      </c>
    </row>
    <row r="308" spans="1:21" x14ac:dyDescent="0.25">
      <c r="A308">
        <v>307</v>
      </c>
      <c r="B308" t="s">
        <v>652</v>
      </c>
      <c r="C308">
        <v>956365</v>
      </c>
      <c r="D308" t="s">
        <v>18</v>
      </c>
      <c r="E308">
        <v>60</v>
      </c>
      <c r="F308" t="str">
        <f t="shared" si="8"/>
        <v>senior</v>
      </c>
      <c r="G308" t="s">
        <v>19</v>
      </c>
      <c r="H308" t="str">
        <f t="shared" si="9"/>
        <v>Dec</v>
      </c>
      <c r="I308" t="s">
        <v>20</v>
      </c>
      <c r="J308" t="s">
        <v>21</v>
      </c>
      <c r="K308" t="s">
        <v>653</v>
      </c>
      <c r="L308" t="s">
        <v>42</v>
      </c>
      <c r="M308" t="s">
        <v>24</v>
      </c>
      <c r="N308">
        <v>1</v>
      </c>
      <c r="O308" t="s">
        <v>25</v>
      </c>
      <c r="P308">
        <v>842</v>
      </c>
      <c r="Q308" t="s">
        <v>26</v>
      </c>
      <c r="R308" t="s">
        <v>27</v>
      </c>
      <c r="S308" t="s">
        <v>28</v>
      </c>
      <c r="T308" t="s">
        <v>29</v>
      </c>
      <c r="U308" t="s">
        <v>43</v>
      </c>
    </row>
    <row r="309" spans="1:21" x14ac:dyDescent="0.25">
      <c r="A309">
        <v>308</v>
      </c>
      <c r="B309" t="s">
        <v>654</v>
      </c>
      <c r="C309">
        <v>403389</v>
      </c>
      <c r="D309" t="s">
        <v>32</v>
      </c>
      <c r="E309">
        <v>21</v>
      </c>
      <c r="F309" t="str">
        <f t="shared" si="8"/>
        <v>teenager</v>
      </c>
      <c r="G309" t="s">
        <v>19</v>
      </c>
      <c r="H309" t="str">
        <f t="shared" si="9"/>
        <v>Dec</v>
      </c>
      <c r="I309" t="s">
        <v>20</v>
      </c>
      <c r="J309" t="s">
        <v>40</v>
      </c>
      <c r="K309" t="s">
        <v>655</v>
      </c>
      <c r="L309" t="s">
        <v>42</v>
      </c>
      <c r="M309" t="s">
        <v>47</v>
      </c>
      <c r="N309">
        <v>1</v>
      </c>
      <c r="O309" t="s">
        <v>25</v>
      </c>
      <c r="P309">
        <v>1779</v>
      </c>
      <c r="Q309" t="s">
        <v>36</v>
      </c>
      <c r="R309" t="s">
        <v>37</v>
      </c>
      <c r="S309" t="s">
        <v>38</v>
      </c>
      <c r="T309" t="s">
        <v>29</v>
      </c>
      <c r="U309" t="s">
        <v>43</v>
      </c>
    </row>
    <row r="310" spans="1:21" x14ac:dyDescent="0.25">
      <c r="A310">
        <v>309</v>
      </c>
      <c r="B310" t="s">
        <v>656</v>
      </c>
      <c r="C310">
        <v>494907</v>
      </c>
      <c r="D310" t="s">
        <v>18</v>
      </c>
      <c r="E310">
        <v>45</v>
      </c>
      <c r="F310" t="str">
        <f t="shared" si="8"/>
        <v>adult</v>
      </c>
      <c r="G310" t="s">
        <v>19</v>
      </c>
      <c r="H310" t="str">
        <f t="shared" si="9"/>
        <v>Dec</v>
      </c>
      <c r="I310" t="s">
        <v>20</v>
      </c>
      <c r="J310" t="s">
        <v>33</v>
      </c>
      <c r="K310" t="s">
        <v>657</v>
      </c>
      <c r="L310" t="s">
        <v>58</v>
      </c>
      <c r="M310" t="s">
        <v>35</v>
      </c>
      <c r="N310">
        <v>1</v>
      </c>
      <c r="O310" t="s">
        <v>25</v>
      </c>
      <c r="P310">
        <v>1617</v>
      </c>
      <c r="Q310" t="s">
        <v>26</v>
      </c>
      <c r="R310" t="s">
        <v>27</v>
      </c>
      <c r="S310" t="s">
        <v>28</v>
      </c>
      <c r="T310" t="s">
        <v>29</v>
      </c>
      <c r="U310" t="s">
        <v>30</v>
      </c>
    </row>
    <row r="311" spans="1:21" x14ac:dyDescent="0.25">
      <c r="A311">
        <v>310</v>
      </c>
      <c r="B311" t="s">
        <v>658</v>
      </c>
      <c r="C311">
        <v>747815</v>
      </c>
      <c r="D311" t="s">
        <v>32</v>
      </c>
      <c r="E311">
        <v>35</v>
      </c>
      <c r="F311" t="str">
        <f t="shared" si="8"/>
        <v>adult</v>
      </c>
      <c r="G311" t="s">
        <v>19</v>
      </c>
      <c r="H311" t="str">
        <f t="shared" si="9"/>
        <v>Dec</v>
      </c>
      <c r="I311" t="s">
        <v>20</v>
      </c>
      <c r="J311" t="s">
        <v>40</v>
      </c>
      <c r="K311" t="s">
        <v>659</v>
      </c>
      <c r="L311" t="s">
        <v>58</v>
      </c>
      <c r="M311" t="s">
        <v>50</v>
      </c>
      <c r="N311">
        <v>1</v>
      </c>
      <c r="O311" t="s">
        <v>25</v>
      </c>
      <c r="P311">
        <v>517</v>
      </c>
      <c r="Q311" t="s">
        <v>26</v>
      </c>
      <c r="R311" t="s">
        <v>27</v>
      </c>
      <c r="S311" t="s">
        <v>28</v>
      </c>
      <c r="T311" t="s">
        <v>29</v>
      </c>
      <c r="U311" t="s">
        <v>43</v>
      </c>
    </row>
    <row r="312" spans="1:21" x14ac:dyDescent="0.25">
      <c r="A312">
        <v>311</v>
      </c>
      <c r="B312" t="s">
        <v>660</v>
      </c>
      <c r="C312">
        <v>138345</v>
      </c>
      <c r="D312" t="s">
        <v>18</v>
      </c>
      <c r="E312">
        <v>39</v>
      </c>
      <c r="F312" t="str">
        <f t="shared" si="8"/>
        <v>adult</v>
      </c>
      <c r="G312" t="s">
        <v>19</v>
      </c>
      <c r="H312" t="str">
        <f t="shared" si="9"/>
        <v>Dec</v>
      </c>
      <c r="I312" t="s">
        <v>20</v>
      </c>
      <c r="J312" t="s">
        <v>21</v>
      </c>
      <c r="K312" t="s">
        <v>661</v>
      </c>
      <c r="L312" t="s">
        <v>58</v>
      </c>
      <c r="M312" t="s">
        <v>47</v>
      </c>
      <c r="N312">
        <v>1</v>
      </c>
      <c r="O312" t="s">
        <v>25</v>
      </c>
      <c r="P312">
        <v>1944</v>
      </c>
      <c r="Q312" t="s">
        <v>53</v>
      </c>
      <c r="R312" t="s">
        <v>54</v>
      </c>
      <c r="S312" t="s">
        <v>55</v>
      </c>
      <c r="T312" t="s">
        <v>29</v>
      </c>
      <c r="U312" t="s">
        <v>43</v>
      </c>
    </row>
    <row r="313" spans="1:21" x14ac:dyDescent="0.25">
      <c r="A313">
        <v>312</v>
      </c>
      <c r="B313" t="s">
        <v>662</v>
      </c>
      <c r="C313">
        <v>741570</v>
      </c>
      <c r="D313" t="s">
        <v>32</v>
      </c>
      <c r="E313">
        <v>22</v>
      </c>
      <c r="F313" t="str">
        <f t="shared" si="8"/>
        <v>teenager</v>
      </c>
      <c r="G313" t="s">
        <v>19</v>
      </c>
      <c r="H313" t="str">
        <f t="shared" si="9"/>
        <v>Dec</v>
      </c>
      <c r="I313" t="s">
        <v>20</v>
      </c>
      <c r="J313" t="s">
        <v>45</v>
      </c>
      <c r="K313" t="s">
        <v>663</v>
      </c>
      <c r="L313" t="s">
        <v>23</v>
      </c>
      <c r="M313" t="s">
        <v>50</v>
      </c>
      <c r="N313">
        <v>1</v>
      </c>
      <c r="O313" t="s">
        <v>25</v>
      </c>
      <c r="P313">
        <v>1777</v>
      </c>
      <c r="Q313" t="s">
        <v>53</v>
      </c>
      <c r="R313" t="s">
        <v>54</v>
      </c>
      <c r="S313" t="s">
        <v>55</v>
      </c>
      <c r="T313" t="s">
        <v>29</v>
      </c>
      <c r="U313" t="s">
        <v>30</v>
      </c>
    </row>
    <row r="314" spans="1:21" x14ac:dyDescent="0.25">
      <c r="A314">
        <v>313</v>
      </c>
      <c r="B314" t="s">
        <v>664</v>
      </c>
      <c r="C314">
        <v>841277</v>
      </c>
      <c r="D314" t="s">
        <v>18</v>
      </c>
      <c r="E314">
        <v>19</v>
      </c>
      <c r="F314" t="str">
        <f t="shared" si="8"/>
        <v>teenager</v>
      </c>
      <c r="G314" t="s">
        <v>19</v>
      </c>
      <c r="H314" t="str">
        <f t="shared" si="9"/>
        <v>Dec</v>
      </c>
      <c r="I314" t="s">
        <v>20</v>
      </c>
      <c r="J314" t="s">
        <v>33</v>
      </c>
      <c r="K314" t="s">
        <v>665</v>
      </c>
      <c r="L314" t="s">
        <v>23</v>
      </c>
      <c r="M314" t="s">
        <v>76</v>
      </c>
      <c r="N314">
        <v>1</v>
      </c>
      <c r="O314" t="s">
        <v>25</v>
      </c>
      <c r="P314">
        <v>708</v>
      </c>
      <c r="Q314" t="s">
        <v>53</v>
      </c>
      <c r="R314" t="s">
        <v>54</v>
      </c>
      <c r="S314" t="s">
        <v>55</v>
      </c>
      <c r="T314" t="s">
        <v>29</v>
      </c>
      <c r="U314" t="s">
        <v>30</v>
      </c>
    </row>
    <row r="315" spans="1:21" x14ac:dyDescent="0.25">
      <c r="A315">
        <v>314</v>
      </c>
      <c r="B315" t="s">
        <v>666</v>
      </c>
      <c r="C315">
        <v>743561</v>
      </c>
      <c r="D315" t="s">
        <v>32</v>
      </c>
      <c r="E315">
        <v>70</v>
      </c>
      <c r="F315" t="str">
        <f t="shared" si="8"/>
        <v>senior</v>
      </c>
      <c r="G315" t="s">
        <v>19</v>
      </c>
      <c r="H315" t="str">
        <f t="shared" si="9"/>
        <v>Dec</v>
      </c>
      <c r="I315" t="s">
        <v>20</v>
      </c>
      <c r="J315" t="s">
        <v>21</v>
      </c>
      <c r="K315" t="s">
        <v>667</v>
      </c>
      <c r="L315" t="s">
        <v>42</v>
      </c>
      <c r="M315" t="s">
        <v>50</v>
      </c>
      <c r="N315">
        <v>1</v>
      </c>
      <c r="O315" t="s">
        <v>25</v>
      </c>
      <c r="P315">
        <v>1031</v>
      </c>
      <c r="Q315" t="s">
        <v>26</v>
      </c>
      <c r="R315" t="s">
        <v>27</v>
      </c>
      <c r="S315" t="s">
        <v>28</v>
      </c>
      <c r="T315" t="s">
        <v>29</v>
      </c>
      <c r="U315" t="s">
        <v>43</v>
      </c>
    </row>
    <row r="316" spans="1:21" x14ac:dyDescent="0.25">
      <c r="A316">
        <v>315</v>
      </c>
      <c r="B316" t="s">
        <v>668</v>
      </c>
      <c r="C316">
        <v>246977</v>
      </c>
      <c r="D316" t="s">
        <v>18</v>
      </c>
      <c r="E316">
        <v>65</v>
      </c>
      <c r="F316" t="str">
        <f t="shared" si="8"/>
        <v>senior</v>
      </c>
      <c r="G316" t="s">
        <v>19</v>
      </c>
      <c r="H316" t="str">
        <f t="shared" si="9"/>
        <v>Dec</v>
      </c>
      <c r="I316" t="s">
        <v>20</v>
      </c>
      <c r="J316" t="s">
        <v>40</v>
      </c>
      <c r="K316" t="s">
        <v>669</v>
      </c>
      <c r="L316" t="s">
        <v>58</v>
      </c>
      <c r="M316" t="s">
        <v>47</v>
      </c>
      <c r="N316">
        <v>1</v>
      </c>
      <c r="O316" t="s">
        <v>25</v>
      </c>
      <c r="P316">
        <v>1249</v>
      </c>
      <c r="Q316" t="s">
        <v>53</v>
      </c>
      <c r="R316" t="s">
        <v>54</v>
      </c>
      <c r="S316" t="s">
        <v>55</v>
      </c>
      <c r="T316" t="s">
        <v>29</v>
      </c>
      <c r="U316" t="s">
        <v>30</v>
      </c>
    </row>
    <row r="317" spans="1:21" x14ac:dyDescent="0.25">
      <c r="A317">
        <v>316</v>
      </c>
      <c r="B317" t="s">
        <v>670</v>
      </c>
      <c r="C317">
        <v>754288</v>
      </c>
      <c r="D317" t="s">
        <v>32</v>
      </c>
      <c r="E317">
        <v>45</v>
      </c>
      <c r="F317" t="str">
        <f t="shared" si="8"/>
        <v>adult</v>
      </c>
      <c r="G317" t="s">
        <v>19</v>
      </c>
      <c r="H317" t="str">
        <f t="shared" si="9"/>
        <v>Dec</v>
      </c>
      <c r="I317" t="s">
        <v>20</v>
      </c>
      <c r="J317" t="s">
        <v>40</v>
      </c>
      <c r="K317" t="s">
        <v>671</v>
      </c>
      <c r="L317" t="s">
        <v>58</v>
      </c>
      <c r="M317" t="s">
        <v>24</v>
      </c>
      <c r="N317">
        <v>1</v>
      </c>
      <c r="O317" t="s">
        <v>25</v>
      </c>
      <c r="P317">
        <v>580</v>
      </c>
      <c r="Q317" t="s">
        <v>36</v>
      </c>
      <c r="R317" t="s">
        <v>37</v>
      </c>
      <c r="S317" t="s">
        <v>38</v>
      </c>
      <c r="T317" t="s">
        <v>29</v>
      </c>
      <c r="U317" t="s">
        <v>30</v>
      </c>
    </row>
    <row r="318" spans="1:21" x14ac:dyDescent="0.25">
      <c r="A318">
        <v>317</v>
      </c>
      <c r="B318" t="s">
        <v>672</v>
      </c>
      <c r="C318">
        <v>838780</v>
      </c>
      <c r="D318" t="s">
        <v>18</v>
      </c>
      <c r="E318">
        <v>22</v>
      </c>
      <c r="F318" t="str">
        <f t="shared" si="8"/>
        <v>teenager</v>
      </c>
      <c r="G318" t="s">
        <v>19</v>
      </c>
      <c r="H318" t="str">
        <f t="shared" si="9"/>
        <v>Dec</v>
      </c>
      <c r="I318" t="s">
        <v>20</v>
      </c>
      <c r="J318" t="s">
        <v>45</v>
      </c>
      <c r="K318" t="s">
        <v>673</v>
      </c>
      <c r="L318" t="s">
        <v>23</v>
      </c>
      <c r="M318" t="s">
        <v>76</v>
      </c>
      <c r="N318">
        <v>1</v>
      </c>
      <c r="O318" t="s">
        <v>25</v>
      </c>
      <c r="P318">
        <v>727</v>
      </c>
      <c r="Q318" t="s">
        <v>63</v>
      </c>
      <c r="R318" t="s">
        <v>64</v>
      </c>
      <c r="S318" t="s">
        <v>65</v>
      </c>
      <c r="T318" t="s">
        <v>29</v>
      </c>
      <c r="U318" t="s">
        <v>30</v>
      </c>
    </row>
    <row r="319" spans="1:21" x14ac:dyDescent="0.25">
      <c r="A319">
        <v>318</v>
      </c>
      <c r="B319" t="s">
        <v>674</v>
      </c>
      <c r="C319">
        <v>552324</v>
      </c>
      <c r="D319" t="s">
        <v>32</v>
      </c>
      <c r="E319">
        <v>24</v>
      </c>
      <c r="F319" t="str">
        <f t="shared" si="8"/>
        <v>teenager</v>
      </c>
      <c r="G319" t="s">
        <v>19</v>
      </c>
      <c r="H319" t="str">
        <f t="shared" si="9"/>
        <v>Dec</v>
      </c>
      <c r="I319" t="s">
        <v>20</v>
      </c>
      <c r="J319" t="s">
        <v>33</v>
      </c>
      <c r="K319" t="s">
        <v>675</v>
      </c>
      <c r="L319" t="s">
        <v>42</v>
      </c>
      <c r="M319" t="s">
        <v>24</v>
      </c>
      <c r="N319">
        <v>1</v>
      </c>
      <c r="O319" t="s">
        <v>25</v>
      </c>
      <c r="P319">
        <v>1401</v>
      </c>
      <c r="Q319" t="s">
        <v>53</v>
      </c>
      <c r="R319" t="s">
        <v>54</v>
      </c>
      <c r="S319" t="s">
        <v>55</v>
      </c>
      <c r="T319" t="s">
        <v>29</v>
      </c>
      <c r="U319" t="s">
        <v>43</v>
      </c>
    </row>
    <row r="320" spans="1:21" x14ac:dyDescent="0.25">
      <c r="A320">
        <v>319</v>
      </c>
      <c r="B320" t="s">
        <v>676</v>
      </c>
      <c r="C320">
        <v>374932</v>
      </c>
      <c r="D320" t="s">
        <v>18</v>
      </c>
      <c r="E320">
        <v>61</v>
      </c>
      <c r="F320" t="str">
        <f t="shared" si="8"/>
        <v>senior</v>
      </c>
      <c r="G320" t="s">
        <v>19</v>
      </c>
      <c r="H320" t="str">
        <f t="shared" si="9"/>
        <v>Dec</v>
      </c>
      <c r="I320" t="s">
        <v>20</v>
      </c>
      <c r="J320" t="s">
        <v>21</v>
      </c>
      <c r="K320" t="s">
        <v>677</v>
      </c>
      <c r="L320" t="s">
        <v>42</v>
      </c>
      <c r="M320" t="s">
        <v>50</v>
      </c>
      <c r="N320">
        <v>1</v>
      </c>
      <c r="O320" t="s">
        <v>25</v>
      </c>
      <c r="P320">
        <v>1840</v>
      </c>
      <c r="Q320" t="s">
        <v>36</v>
      </c>
      <c r="R320" t="s">
        <v>37</v>
      </c>
      <c r="S320" t="s">
        <v>38</v>
      </c>
      <c r="T320" t="s">
        <v>29</v>
      </c>
      <c r="U320" t="s">
        <v>30</v>
      </c>
    </row>
    <row r="321" spans="1:21" x14ac:dyDescent="0.25">
      <c r="A321">
        <v>320</v>
      </c>
      <c r="B321" t="s">
        <v>678</v>
      </c>
      <c r="C321">
        <v>363948</v>
      </c>
      <c r="D321" t="s">
        <v>32</v>
      </c>
      <c r="E321">
        <v>47</v>
      </c>
      <c r="F321" t="str">
        <f t="shared" si="8"/>
        <v>adult</v>
      </c>
      <c r="G321" t="s">
        <v>19</v>
      </c>
      <c r="H321" t="str">
        <f t="shared" si="9"/>
        <v>Dec</v>
      </c>
      <c r="I321" t="s">
        <v>20</v>
      </c>
      <c r="J321" t="s">
        <v>40</v>
      </c>
      <c r="K321" t="s">
        <v>679</v>
      </c>
      <c r="L321" t="s">
        <v>23</v>
      </c>
      <c r="M321" t="s">
        <v>47</v>
      </c>
      <c r="N321">
        <v>1</v>
      </c>
      <c r="O321" t="s">
        <v>25</v>
      </c>
      <c r="P321">
        <v>1564</v>
      </c>
      <c r="Q321" t="s">
        <v>53</v>
      </c>
      <c r="R321" t="s">
        <v>54</v>
      </c>
      <c r="S321" t="s">
        <v>55</v>
      </c>
      <c r="T321" t="s">
        <v>29</v>
      </c>
      <c r="U321" t="s">
        <v>30</v>
      </c>
    </row>
    <row r="322" spans="1:21" x14ac:dyDescent="0.25">
      <c r="A322">
        <v>321</v>
      </c>
      <c r="B322" t="s">
        <v>680</v>
      </c>
      <c r="C322">
        <v>509322</v>
      </c>
      <c r="D322" t="s">
        <v>18</v>
      </c>
      <c r="E322">
        <v>48</v>
      </c>
      <c r="F322" t="str">
        <f t="shared" si="8"/>
        <v>adult</v>
      </c>
      <c r="G322" t="s">
        <v>19</v>
      </c>
      <c r="H322" t="str">
        <f t="shared" si="9"/>
        <v>Dec</v>
      </c>
      <c r="I322" t="s">
        <v>20</v>
      </c>
      <c r="J322" t="s">
        <v>21</v>
      </c>
      <c r="K322" t="s">
        <v>681</v>
      </c>
      <c r="L322" t="s">
        <v>42</v>
      </c>
      <c r="M322" t="s">
        <v>50</v>
      </c>
      <c r="N322">
        <v>1</v>
      </c>
      <c r="O322" t="s">
        <v>25</v>
      </c>
      <c r="P322">
        <v>691</v>
      </c>
      <c r="Q322" t="s">
        <v>63</v>
      </c>
      <c r="R322" t="s">
        <v>64</v>
      </c>
      <c r="S322" t="s">
        <v>65</v>
      </c>
      <c r="T322" t="s">
        <v>29</v>
      </c>
      <c r="U322" t="s">
        <v>43</v>
      </c>
    </row>
    <row r="323" spans="1:21" x14ac:dyDescent="0.25">
      <c r="A323">
        <v>322</v>
      </c>
      <c r="B323" t="s">
        <v>682</v>
      </c>
      <c r="C323">
        <v>359775</v>
      </c>
      <c r="D323" t="s">
        <v>32</v>
      </c>
      <c r="E323">
        <v>60</v>
      </c>
      <c r="F323" t="str">
        <f t="shared" ref="F323:F386" si="10">IF(E323&gt;=50,"senior",IF(E323&gt;=30,"adult","teenager"))</f>
        <v>senior</v>
      </c>
      <c r="G323" t="s">
        <v>19</v>
      </c>
      <c r="H323" t="str">
        <f t="shared" ref="H323:H386" si="11">TEXT(G323,"mmm")</f>
        <v>Dec</v>
      </c>
      <c r="I323" t="s">
        <v>20</v>
      </c>
      <c r="J323" t="s">
        <v>21</v>
      </c>
      <c r="K323" t="s">
        <v>683</v>
      </c>
      <c r="L323" t="s">
        <v>58</v>
      </c>
      <c r="M323" t="s">
        <v>35</v>
      </c>
      <c r="N323">
        <v>1</v>
      </c>
      <c r="O323" t="s">
        <v>25</v>
      </c>
      <c r="P323">
        <v>443</v>
      </c>
      <c r="Q323" t="s">
        <v>26</v>
      </c>
      <c r="R323" t="s">
        <v>27</v>
      </c>
      <c r="S323" t="s">
        <v>28</v>
      </c>
      <c r="T323" t="s">
        <v>29</v>
      </c>
      <c r="U323" t="s">
        <v>30</v>
      </c>
    </row>
    <row r="324" spans="1:21" x14ac:dyDescent="0.25">
      <c r="A324">
        <v>323</v>
      </c>
      <c r="B324" t="s">
        <v>684</v>
      </c>
      <c r="C324">
        <v>734271</v>
      </c>
      <c r="D324" t="s">
        <v>18</v>
      </c>
      <c r="E324">
        <v>53</v>
      </c>
      <c r="F324" t="str">
        <f t="shared" si="10"/>
        <v>senior</v>
      </c>
      <c r="G324" t="s">
        <v>19</v>
      </c>
      <c r="H324" t="str">
        <f t="shared" si="11"/>
        <v>Dec</v>
      </c>
      <c r="I324" t="s">
        <v>20</v>
      </c>
      <c r="J324" t="s">
        <v>21</v>
      </c>
      <c r="K324" t="s">
        <v>333</v>
      </c>
      <c r="L324" t="s">
        <v>23</v>
      </c>
      <c r="M324" t="s">
        <v>24</v>
      </c>
      <c r="N324">
        <v>1</v>
      </c>
      <c r="O324" t="s">
        <v>25</v>
      </c>
      <c r="P324">
        <v>1136</v>
      </c>
      <c r="Q324" t="s">
        <v>26</v>
      </c>
      <c r="R324" t="s">
        <v>27</v>
      </c>
      <c r="S324" t="s">
        <v>28</v>
      </c>
      <c r="T324" t="s">
        <v>29</v>
      </c>
      <c r="U324" t="s">
        <v>43</v>
      </c>
    </row>
    <row r="325" spans="1:21" x14ac:dyDescent="0.25">
      <c r="A325">
        <v>324</v>
      </c>
      <c r="B325" t="s">
        <v>685</v>
      </c>
      <c r="C325">
        <v>251845</v>
      </c>
      <c r="D325" t="s">
        <v>32</v>
      </c>
      <c r="E325">
        <v>31</v>
      </c>
      <c r="F325" t="str">
        <f t="shared" si="10"/>
        <v>adult</v>
      </c>
      <c r="G325" t="s">
        <v>19</v>
      </c>
      <c r="H325" t="str">
        <f t="shared" si="11"/>
        <v>Dec</v>
      </c>
      <c r="I325" t="s">
        <v>20</v>
      </c>
      <c r="J325" t="s">
        <v>40</v>
      </c>
      <c r="K325" t="s">
        <v>686</v>
      </c>
      <c r="L325" t="s">
        <v>58</v>
      </c>
      <c r="M325" t="s">
        <v>24</v>
      </c>
      <c r="N325">
        <v>1</v>
      </c>
      <c r="O325" t="s">
        <v>25</v>
      </c>
      <c r="P325">
        <v>1178</v>
      </c>
      <c r="Q325" t="s">
        <v>36</v>
      </c>
      <c r="R325" t="s">
        <v>37</v>
      </c>
      <c r="S325" t="s">
        <v>38</v>
      </c>
      <c r="T325" t="s">
        <v>29</v>
      </c>
      <c r="U325" t="s">
        <v>30</v>
      </c>
    </row>
    <row r="326" spans="1:21" x14ac:dyDescent="0.25">
      <c r="A326">
        <v>325</v>
      </c>
      <c r="B326" t="s">
        <v>687</v>
      </c>
      <c r="C326">
        <v>716152</v>
      </c>
      <c r="D326" t="s">
        <v>18</v>
      </c>
      <c r="E326">
        <v>39</v>
      </c>
      <c r="F326" t="str">
        <f t="shared" si="10"/>
        <v>adult</v>
      </c>
      <c r="G326" t="s">
        <v>19</v>
      </c>
      <c r="H326" t="str">
        <f t="shared" si="11"/>
        <v>Dec</v>
      </c>
      <c r="I326" t="s">
        <v>20</v>
      </c>
      <c r="J326" t="s">
        <v>40</v>
      </c>
      <c r="K326" t="s">
        <v>688</v>
      </c>
      <c r="L326" t="s">
        <v>58</v>
      </c>
      <c r="M326" t="s">
        <v>24</v>
      </c>
      <c r="N326">
        <v>1</v>
      </c>
      <c r="O326" t="s">
        <v>25</v>
      </c>
      <c r="P326">
        <v>694</v>
      </c>
      <c r="Q326" t="s">
        <v>36</v>
      </c>
      <c r="R326" t="s">
        <v>37</v>
      </c>
      <c r="S326" t="s">
        <v>38</v>
      </c>
      <c r="T326" t="s">
        <v>29</v>
      </c>
      <c r="U326" t="s">
        <v>30</v>
      </c>
    </row>
    <row r="327" spans="1:21" x14ac:dyDescent="0.25">
      <c r="A327">
        <v>326</v>
      </c>
      <c r="B327" t="s">
        <v>689</v>
      </c>
      <c r="C327">
        <v>872775</v>
      </c>
      <c r="D327" t="s">
        <v>32</v>
      </c>
      <c r="E327">
        <v>30</v>
      </c>
      <c r="F327" t="str">
        <f t="shared" si="10"/>
        <v>adult</v>
      </c>
      <c r="G327" t="s">
        <v>19</v>
      </c>
      <c r="H327" t="str">
        <f t="shared" si="11"/>
        <v>Dec</v>
      </c>
      <c r="I327" t="s">
        <v>20</v>
      </c>
      <c r="J327" t="s">
        <v>40</v>
      </c>
      <c r="K327" t="s">
        <v>690</v>
      </c>
      <c r="L327" t="s">
        <v>42</v>
      </c>
      <c r="M327" t="s">
        <v>76</v>
      </c>
      <c r="N327">
        <v>1</v>
      </c>
      <c r="O327" t="s">
        <v>25</v>
      </c>
      <c r="P327">
        <v>1552</v>
      </c>
      <c r="Q327" t="s">
        <v>53</v>
      </c>
      <c r="R327" t="s">
        <v>54</v>
      </c>
      <c r="S327" t="s">
        <v>55</v>
      </c>
      <c r="T327" t="s">
        <v>29</v>
      </c>
      <c r="U327" t="s">
        <v>43</v>
      </c>
    </row>
    <row r="328" spans="1:21" x14ac:dyDescent="0.25">
      <c r="A328">
        <v>327</v>
      </c>
      <c r="B328" t="s">
        <v>691</v>
      </c>
      <c r="C328">
        <v>636297</v>
      </c>
      <c r="D328" t="s">
        <v>18</v>
      </c>
      <c r="E328">
        <v>56</v>
      </c>
      <c r="F328" t="str">
        <f t="shared" si="10"/>
        <v>senior</v>
      </c>
      <c r="G328" t="s">
        <v>19</v>
      </c>
      <c r="H328" t="str">
        <f t="shared" si="11"/>
        <v>Dec</v>
      </c>
      <c r="I328" t="s">
        <v>20</v>
      </c>
      <c r="J328" t="s">
        <v>40</v>
      </c>
      <c r="K328" t="s">
        <v>692</v>
      </c>
      <c r="L328" t="s">
        <v>42</v>
      </c>
      <c r="M328" t="s">
        <v>24</v>
      </c>
      <c r="N328">
        <v>1</v>
      </c>
      <c r="O328" t="s">
        <v>25</v>
      </c>
      <c r="P328">
        <v>1039</v>
      </c>
      <c r="Q328" t="s">
        <v>26</v>
      </c>
      <c r="R328" t="s">
        <v>27</v>
      </c>
      <c r="S328" t="s">
        <v>28</v>
      </c>
      <c r="T328" t="s">
        <v>29</v>
      </c>
      <c r="U328" t="s">
        <v>30</v>
      </c>
    </row>
    <row r="329" spans="1:21" x14ac:dyDescent="0.25">
      <c r="A329">
        <v>328</v>
      </c>
      <c r="B329" t="s">
        <v>693</v>
      </c>
      <c r="C329">
        <v>286535</v>
      </c>
      <c r="D329" t="s">
        <v>32</v>
      </c>
      <c r="E329">
        <v>43</v>
      </c>
      <c r="F329" t="str">
        <f t="shared" si="10"/>
        <v>adult</v>
      </c>
      <c r="G329" t="s">
        <v>19</v>
      </c>
      <c r="H329" t="str">
        <f t="shared" si="11"/>
        <v>Dec</v>
      </c>
      <c r="I329" t="s">
        <v>20</v>
      </c>
      <c r="J329" t="s">
        <v>40</v>
      </c>
      <c r="K329" t="s">
        <v>694</v>
      </c>
      <c r="L329" t="s">
        <v>42</v>
      </c>
      <c r="M329" t="s">
        <v>35</v>
      </c>
      <c r="N329">
        <v>1</v>
      </c>
      <c r="O329" t="s">
        <v>25</v>
      </c>
      <c r="P329">
        <v>1672</v>
      </c>
      <c r="Q329" t="s">
        <v>36</v>
      </c>
      <c r="R329" t="s">
        <v>37</v>
      </c>
      <c r="S329" t="s">
        <v>38</v>
      </c>
      <c r="T329" t="s">
        <v>29</v>
      </c>
      <c r="U329" t="s">
        <v>43</v>
      </c>
    </row>
    <row r="330" spans="1:21" x14ac:dyDescent="0.25">
      <c r="A330">
        <v>329</v>
      </c>
      <c r="B330" t="s">
        <v>695</v>
      </c>
      <c r="C330">
        <v>397654</v>
      </c>
      <c r="D330" t="s">
        <v>18</v>
      </c>
      <c r="E330">
        <v>61</v>
      </c>
      <c r="F330" t="str">
        <f t="shared" si="10"/>
        <v>senior</v>
      </c>
      <c r="G330" t="s">
        <v>19</v>
      </c>
      <c r="H330" t="str">
        <f t="shared" si="11"/>
        <v>Dec</v>
      </c>
      <c r="I330" t="s">
        <v>20</v>
      </c>
      <c r="J330" t="s">
        <v>33</v>
      </c>
      <c r="K330" t="s">
        <v>696</v>
      </c>
      <c r="L330" t="s">
        <v>42</v>
      </c>
      <c r="M330" t="s">
        <v>35</v>
      </c>
      <c r="N330">
        <v>1</v>
      </c>
      <c r="O330" t="s">
        <v>25</v>
      </c>
      <c r="P330">
        <v>467</v>
      </c>
      <c r="Q330" t="s">
        <v>53</v>
      </c>
      <c r="R330" t="s">
        <v>54</v>
      </c>
      <c r="S330" t="s">
        <v>55</v>
      </c>
      <c r="T330" t="s">
        <v>29</v>
      </c>
      <c r="U330" t="s">
        <v>43</v>
      </c>
    </row>
    <row r="331" spans="1:21" x14ac:dyDescent="0.25">
      <c r="A331">
        <v>330</v>
      </c>
      <c r="B331" t="s">
        <v>697</v>
      </c>
      <c r="C331">
        <v>274424</v>
      </c>
      <c r="D331" t="s">
        <v>32</v>
      </c>
      <c r="E331">
        <v>43</v>
      </c>
      <c r="F331" t="str">
        <f t="shared" si="10"/>
        <v>adult</v>
      </c>
      <c r="G331" t="s">
        <v>19</v>
      </c>
      <c r="H331" t="str">
        <f t="shared" si="11"/>
        <v>Dec</v>
      </c>
      <c r="I331" t="s">
        <v>20</v>
      </c>
      <c r="J331" t="s">
        <v>21</v>
      </c>
      <c r="K331" t="s">
        <v>698</v>
      </c>
      <c r="L331" t="s">
        <v>23</v>
      </c>
      <c r="M331" t="s">
        <v>50</v>
      </c>
      <c r="N331">
        <v>1</v>
      </c>
      <c r="O331" t="s">
        <v>25</v>
      </c>
      <c r="P331">
        <v>1278</v>
      </c>
      <c r="Q331" t="s">
        <v>53</v>
      </c>
      <c r="R331" t="s">
        <v>54</v>
      </c>
      <c r="S331" t="s">
        <v>55</v>
      </c>
      <c r="T331" t="s">
        <v>29</v>
      </c>
      <c r="U331" t="s">
        <v>43</v>
      </c>
    </row>
    <row r="332" spans="1:21" x14ac:dyDescent="0.25">
      <c r="A332">
        <v>331</v>
      </c>
      <c r="B332" t="s">
        <v>699</v>
      </c>
      <c r="C332">
        <v>925508</v>
      </c>
      <c r="D332" t="s">
        <v>18</v>
      </c>
      <c r="E332">
        <v>26</v>
      </c>
      <c r="F332" t="str">
        <f t="shared" si="10"/>
        <v>teenager</v>
      </c>
      <c r="G332" t="s">
        <v>19</v>
      </c>
      <c r="H332" t="str">
        <f t="shared" si="11"/>
        <v>Dec</v>
      </c>
      <c r="I332" t="s">
        <v>20</v>
      </c>
      <c r="J332" t="s">
        <v>21</v>
      </c>
      <c r="K332" t="s">
        <v>700</v>
      </c>
      <c r="L332" t="s">
        <v>23</v>
      </c>
      <c r="M332" t="s">
        <v>24</v>
      </c>
      <c r="N332">
        <v>1</v>
      </c>
      <c r="O332" t="s">
        <v>25</v>
      </c>
      <c r="P332">
        <v>1335</v>
      </c>
      <c r="Q332" t="s">
        <v>36</v>
      </c>
      <c r="R332" t="s">
        <v>37</v>
      </c>
      <c r="S332" t="s">
        <v>38</v>
      </c>
      <c r="T332" t="s">
        <v>29</v>
      </c>
      <c r="U332" t="s">
        <v>30</v>
      </c>
    </row>
    <row r="333" spans="1:21" x14ac:dyDescent="0.25">
      <c r="A333">
        <v>332</v>
      </c>
      <c r="B333" t="s">
        <v>701</v>
      </c>
      <c r="C333">
        <v>482180</v>
      </c>
      <c r="D333" t="s">
        <v>32</v>
      </c>
      <c r="E333">
        <v>18</v>
      </c>
      <c r="F333" t="str">
        <f t="shared" si="10"/>
        <v>teenager</v>
      </c>
      <c r="G333" t="s">
        <v>19</v>
      </c>
      <c r="H333" t="str">
        <f t="shared" si="11"/>
        <v>Dec</v>
      </c>
      <c r="I333" t="s">
        <v>20</v>
      </c>
      <c r="J333" t="s">
        <v>33</v>
      </c>
      <c r="K333" t="s">
        <v>702</v>
      </c>
      <c r="L333" t="s">
        <v>23</v>
      </c>
      <c r="M333" t="s">
        <v>35</v>
      </c>
      <c r="N333">
        <v>1</v>
      </c>
      <c r="O333" t="s">
        <v>25</v>
      </c>
      <c r="P333">
        <v>1410</v>
      </c>
      <c r="Q333" t="s">
        <v>26</v>
      </c>
      <c r="R333" t="s">
        <v>27</v>
      </c>
      <c r="S333" t="s">
        <v>28</v>
      </c>
      <c r="T333" t="s">
        <v>29</v>
      </c>
      <c r="U333" t="s">
        <v>43</v>
      </c>
    </row>
    <row r="334" spans="1:21" x14ac:dyDescent="0.25">
      <c r="A334">
        <v>333</v>
      </c>
      <c r="B334" t="s">
        <v>703</v>
      </c>
      <c r="C334">
        <v>496361</v>
      </c>
      <c r="D334" t="s">
        <v>18</v>
      </c>
      <c r="E334">
        <v>38</v>
      </c>
      <c r="F334" t="str">
        <f t="shared" si="10"/>
        <v>adult</v>
      </c>
      <c r="G334" t="s">
        <v>19</v>
      </c>
      <c r="H334" t="str">
        <f t="shared" si="11"/>
        <v>Dec</v>
      </c>
      <c r="I334" t="s">
        <v>20</v>
      </c>
      <c r="J334" t="s">
        <v>33</v>
      </c>
      <c r="K334" t="s">
        <v>704</v>
      </c>
      <c r="L334" t="s">
        <v>58</v>
      </c>
      <c r="M334" t="s">
        <v>47</v>
      </c>
      <c r="N334">
        <v>1</v>
      </c>
      <c r="O334" t="s">
        <v>25</v>
      </c>
      <c r="P334">
        <v>1078</v>
      </c>
      <c r="Q334" t="s">
        <v>63</v>
      </c>
      <c r="R334" t="s">
        <v>64</v>
      </c>
      <c r="S334" t="s">
        <v>65</v>
      </c>
      <c r="T334" t="s">
        <v>29</v>
      </c>
      <c r="U334" t="s">
        <v>43</v>
      </c>
    </row>
    <row r="335" spans="1:21" x14ac:dyDescent="0.25">
      <c r="A335">
        <v>334</v>
      </c>
      <c r="B335" t="s">
        <v>705</v>
      </c>
      <c r="C335">
        <v>185230</v>
      </c>
      <c r="D335" t="s">
        <v>32</v>
      </c>
      <c r="E335">
        <v>45</v>
      </c>
      <c r="F335" t="str">
        <f t="shared" si="10"/>
        <v>adult</v>
      </c>
      <c r="G335" t="s">
        <v>19</v>
      </c>
      <c r="H335" t="str">
        <f t="shared" si="11"/>
        <v>Dec</v>
      </c>
      <c r="I335" t="s">
        <v>20</v>
      </c>
      <c r="J335" t="s">
        <v>33</v>
      </c>
      <c r="K335" t="s">
        <v>706</v>
      </c>
      <c r="L335" t="s">
        <v>23</v>
      </c>
      <c r="M335" t="s">
        <v>50</v>
      </c>
      <c r="N335">
        <v>1</v>
      </c>
      <c r="O335" t="s">
        <v>25</v>
      </c>
      <c r="P335">
        <v>1066</v>
      </c>
      <c r="Q335" t="s">
        <v>36</v>
      </c>
      <c r="R335" t="s">
        <v>37</v>
      </c>
      <c r="S335" t="s">
        <v>38</v>
      </c>
      <c r="T335" t="s">
        <v>29</v>
      </c>
      <c r="U335" t="s">
        <v>43</v>
      </c>
    </row>
    <row r="336" spans="1:21" x14ac:dyDescent="0.25">
      <c r="A336">
        <v>335</v>
      </c>
      <c r="B336" t="s">
        <v>707</v>
      </c>
      <c r="C336">
        <v>958908</v>
      </c>
      <c r="D336" t="s">
        <v>18</v>
      </c>
      <c r="E336">
        <v>25</v>
      </c>
      <c r="F336" t="str">
        <f t="shared" si="10"/>
        <v>teenager</v>
      </c>
      <c r="G336" t="s">
        <v>19</v>
      </c>
      <c r="H336" t="str">
        <f t="shared" si="11"/>
        <v>Dec</v>
      </c>
      <c r="I336" t="s">
        <v>20</v>
      </c>
      <c r="J336" t="s">
        <v>33</v>
      </c>
      <c r="K336" t="s">
        <v>708</v>
      </c>
      <c r="L336" t="s">
        <v>42</v>
      </c>
      <c r="M336" t="s">
        <v>24</v>
      </c>
      <c r="N336">
        <v>1</v>
      </c>
      <c r="O336" t="s">
        <v>25</v>
      </c>
      <c r="P336">
        <v>1566</v>
      </c>
      <c r="Q336" t="s">
        <v>26</v>
      </c>
      <c r="R336" t="s">
        <v>27</v>
      </c>
      <c r="S336" t="s">
        <v>28</v>
      </c>
      <c r="T336" t="s">
        <v>29</v>
      </c>
      <c r="U336" t="s">
        <v>43</v>
      </c>
    </row>
    <row r="337" spans="1:21" x14ac:dyDescent="0.25">
      <c r="A337">
        <v>336</v>
      </c>
      <c r="B337" t="s">
        <v>709</v>
      </c>
      <c r="C337">
        <v>523016</v>
      </c>
      <c r="D337" t="s">
        <v>32</v>
      </c>
      <c r="E337">
        <v>18</v>
      </c>
      <c r="F337" t="str">
        <f t="shared" si="10"/>
        <v>teenager</v>
      </c>
      <c r="G337" t="s">
        <v>19</v>
      </c>
      <c r="H337" t="str">
        <f t="shared" si="11"/>
        <v>Dec</v>
      </c>
      <c r="I337" t="s">
        <v>20</v>
      </c>
      <c r="J337" t="s">
        <v>33</v>
      </c>
      <c r="K337" t="s">
        <v>710</v>
      </c>
      <c r="L337" t="s">
        <v>42</v>
      </c>
      <c r="M337" t="s">
        <v>50</v>
      </c>
      <c r="N337">
        <v>1</v>
      </c>
      <c r="O337" t="s">
        <v>25</v>
      </c>
      <c r="P337">
        <v>1284</v>
      </c>
      <c r="Q337" t="s">
        <v>36</v>
      </c>
      <c r="R337" t="s">
        <v>37</v>
      </c>
      <c r="S337" t="s">
        <v>38</v>
      </c>
      <c r="T337" t="s">
        <v>29</v>
      </c>
      <c r="U337" t="s">
        <v>30</v>
      </c>
    </row>
    <row r="338" spans="1:21" x14ac:dyDescent="0.25">
      <c r="A338">
        <v>337</v>
      </c>
      <c r="B338" t="s">
        <v>711</v>
      </c>
      <c r="C338">
        <v>427960</v>
      </c>
      <c r="D338" t="s">
        <v>18</v>
      </c>
      <c r="E338">
        <v>47</v>
      </c>
      <c r="F338" t="str">
        <f t="shared" si="10"/>
        <v>adult</v>
      </c>
      <c r="G338" t="s">
        <v>19</v>
      </c>
      <c r="H338" t="str">
        <f t="shared" si="11"/>
        <v>Dec</v>
      </c>
      <c r="I338" t="s">
        <v>20</v>
      </c>
      <c r="J338" t="s">
        <v>45</v>
      </c>
      <c r="K338" t="s">
        <v>712</v>
      </c>
      <c r="L338" t="s">
        <v>58</v>
      </c>
      <c r="M338" t="s">
        <v>76</v>
      </c>
      <c r="N338">
        <v>1</v>
      </c>
      <c r="O338" t="s">
        <v>25</v>
      </c>
      <c r="P338">
        <v>1858</v>
      </c>
      <c r="Q338" t="s">
        <v>26</v>
      </c>
      <c r="R338" t="s">
        <v>27</v>
      </c>
      <c r="S338" t="s">
        <v>28</v>
      </c>
      <c r="T338" t="s">
        <v>29</v>
      </c>
      <c r="U338" t="s">
        <v>30</v>
      </c>
    </row>
    <row r="339" spans="1:21" x14ac:dyDescent="0.25">
      <c r="A339">
        <v>338</v>
      </c>
      <c r="B339" t="s">
        <v>713</v>
      </c>
      <c r="C339">
        <v>208515</v>
      </c>
      <c r="D339" t="s">
        <v>32</v>
      </c>
      <c r="E339">
        <v>26</v>
      </c>
      <c r="F339" t="str">
        <f t="shared" si="10"/>
        <v>teenager</v>
      </c>
      <c r="G339" t="s">
        <v>19</v>
      </c>
      <c r="H339" t="str">
        <f t="shared" si="11"/>
        <v>Dec</v>
      </c>
      <c r="I339" t="s">
        <v>20</v>
      </c>
      <c r="J339" t="s">
        <v>21</v>
      </c>
      <c r="K339" t="s">
        <v>714</v>
      </c>
      <c r="L339" t="s">
        <v>58</v>
      </c>
      <c r="M339" t="s">
        <v>50</v>
      </c>
      <c r="N339">
        <v>1</v>
      </c>
      <c r="O339" t="s">
        <v>25</v>
      </c>
      <c r="P339">
        <v>403</v>
      </c>
      <c r="Q339" t="s">
        <v>36</v>
      </c>
      <c r="R339" t="s">
        <v>37</v>
      </c>
      <c r="S339" t="s">
        <v>38</v>
      </c>
      <c r="T339" t="s">
        <v>29</v>
      </c>
      <c r="U339" t="s">
        <v>30</v>
      </c>
    </row>
    <row r="340" spans="1:21" x14ac:dyDescent="0.25">
      <c r="A340">
        <v>339</v>
      </c>
      <c r="B340" t="s">
        <v>715</v>
      </c>
      <c r="C340">
        <v>739620</v>
      </c>
      <c r="D340" t="s">
        <v>18</v>
      </c>
      <c r="E340">
        <v>68</v>
      </c>
      <c r="F340" t="str">
        <f t="shared" si="10"/>
        <v>senior</v>
      </c>
      <c r="G340" t="s">
        <v>19</v>
      </c>
      <c r="H340" t="str">
        <f t="shared" si="11"/>
        <v>Dec</v>
      </c>
      <c r="I340" t="s">
        <v>20</v>
      </c>
      <c r="J340" t="s">
        <v>40</v>
      </c>
      <c r="K340" t="s">
        <v>716</v>
      </c>
      <c r="L340" t="s">
        <v>42</v>
      </c>
      <c r="M340" t="s">
        <v>76</v>
      </c>
      <c r="N340">
        <v>1</v>
      </c>
      <c r="O340" t="s">
        <v>25</v>
      </c>
      <c r="P340">
        <v>1453</v>
      </c>
      <c r="Q340" t="s">
        <v>36</v>
      </c>
      <c r="R340" t="s">
        <v>37</v>
      </c>
      <c r="S340" t="s">
        <v>38</v>
      </c>
      <c r="T340" t="s">
        <v>29</v>
      </c>
      <c r="U340" t="s">
        <v>43</v>
      </c>
    </row>
    <row r="341" spans="1:21" x14ac:dyDescent="0.25">
      <c r="A341">
        <v>340</v>
      </c>
      <c r="B341" t="s">
        <v>717</v>
      </c>
      <c r="C341">
        <v>493193</v>
      </c>
      <c r="D341" t="s">
        <v>32</v>
      </c>
      <c r="E341">
        <v>69</v>
      </c>
      <c r="F341" t="str">
        <f t="shared" si="10"/>
        <v>senior</v>
      </c>
      <c r="G341" t="s">
        <v>19</v>
      </c>
      <c r="H341" t="str">
        <f t="shared" si="11"/>
        <v>Dec</v>
      </c>
      <c r="I341" t="s">
        <v>20</v>
      </c>
      <c r="J341" t="s">
        <v>33</v>
      </c>
      <c r="K341" t="s">
        <v>718</v>
      </c>
      <c r="L341" t="s">
        <v>58</v>
      </c>
      <c r="M341" t="s">
        <v>47</v>
      </c>
      <c r="N341">
        <v>1</v>
      </c>
      <c r="O341" t="s">
        <v>25</v>
      </c>
      <c r="P341">
        <v>1057</v>
      </c>
      <c r="Q341" t="s">
        <v>53</v>
      </c>
      <c r="R341" t="s">
        <v>54</v>
      </c>
      <c r="S341" t="s">
        <v>55</v>
      </c>
      <c r="T341" t="s">
        <v>29</v>
      </c>
      <c r="U341" t="s">
        <v>43</v>
      </c>
    </row>
    <row r="342" spans="1:21" x14ac:dyDescent="0.25">
      <c r="A342">
        <v>341</v>
      </c>
      <c r="B342" t="s">
        <v>719</v>
      </c>
      <c r="C342">
        <v>113730</v>
      </c>
      <c r="D342" t="s">
        <v>18</v>
      </c>
      <c r="E342">
        <v>43</v>
      </c>
      <c r="F342" t="str">
        <f t="shared" si="10"/>
        <v>adult</v>
      </c>
      <c r="G342" t="s">
        <v>19</v>
      </c>
      <c r="H342" t="str">
        <f t="shared" si="11"/>
        <v>Dec</v>
      </c>
      <c r="I342" t="s">
        <v>20</v>
      </c>
      <c r="J342" t="s">
        <v>40</v>
      </c>
      <c r="K342" t="s">
        <v>720</v>
      </c>
      <c r="L342" t="s">
        <v>23</v>
      </c>
      <c r="M342" t="s">
        <v>50</v>
      </c>
      <c r="N342">
        <v>1</v>
      </c>
      <c r="O342" t="s">
        <v>25</v>
      </c>
      <c r="P342">
        <v>1534</v>
      </c>
      <c r="Q342" t="s">
        <v>36</v>
      </c>
      <c r="R342" t="s">
        <v>37</v>
      </c>
      <c r="S342" t="s">
        <v>38</v>
      </c>
      <c r="T342" t="s">
        <v>29</v>
      </c>
      <c r="U342" t="s">
        <v>43</v>
      </c>
    </row>
    <row r="343" spans="1:21" x14ac:dyDescent="0.25">
      <c r="A343">
        <v>342</v>
      </c>
      <c r="B343" t="s">
        <v>721</v>
      </c>
      <c r="C343">
        <v>941974</v>
      </c>
      <c r="D343" t="s">
        <v>32</v>
      </c>
      <c r="E343">
        <v>67</v>
      </c>
      <c r="F343" t="str">
        <f t="shared" si="10"/>
        <v>senior</v>
      </c>
      <c r="G343" t="s">
        <v>19</v>
      </c>
      <c r="H343" t="str">
        <f t="shared" si="11"/>
        <v>Dec</v>
      </c>
      <c r="I343" t="s">
        <v>20</v>
      </c>
      <c r="J343" t="s">
        <v>21</v>
      </c>
      <c r="K343" t="s">
        <v>722</v>
      </c>
      <c r="L343" t="s">
        <v>58</v>
      </c>
      <c r="M343" t="s">
        <v>50</v>
      </c>
      <c r="N343">
        <v>1</v>
      </c>
      <c r="O343" t="s">
        <v>25</v>
      </c>
      <c r="P343">
        <v>1564</v>
      </c>
      <c r="Q343" t="s">
        <v>63</v>
      </c>
      <c r="R343" t="s">
        <v>64</v>
      </c>
      <c r="S343" t="s">
        <v>65</v>
      </c>
      <c r="T343" t="s">
        <v>29</v>
      </c>
      <c r="U343" t="s">
        <v>30</v>
      </c>
    </row>
    <row r="344" spans="1:21" x14ac:dyDescent="0.25">
      <c r="A344">
        <v>343</v>
      </c>
      <c r="B344" t="s">
        <v>723</v>
      </c>
      <c r="C344">
        <v>695560</v>
      </c>
      <c r="D344" t="s">
        <v>18</v>
      </c>
      <c r="E344">
        <v>47</v>
      </c>
      <c r="F344" t="str">
        <f t="shared" si="10"/>
        <v>adult</v>
      </c>
      <c r="G344" t="s">
        <v>19</v>
      </c>
      <c r="H344" t="str">
        <f t="shared" si="11"/>
        <v>Dec</v>
      </c>
      <c r="I344" t="s">
        <v>20</v>
      </c>
      <c r="J344" t="s">
        <v>45</v>
      </c>
      <c r="K344" t="s">
        <v>724</v>
      </c>
      <c r="L344" t="s">
        <v>42</v>
      </c>
      <c r="M344" t="s">
        <v>35</v>
      </c>
      <c r="N344">
        <v>1</v>
      </c>
      <c r="O344" t="s">
        <v>25</v>
      </c>
      <c r="P344">
        <v>1883</v>
      </c>
      <c r="Q344" t="s">
        <v>26</v>
      </c>
      <c r="R344" t="s">
        <v>27</v>
      </c>
      <c r="S344" t="s">
        <v>28</v>
      </c>
      <c r="T344" t="s">
        <v>29</v>
      </c>
      <c r="U344" t="s">
        <v>43</v>
      </c>
    </row>
    <row r="345" spans="1:21" x14ac:dyDescent="0.25">
      <c r="A345">
        <v>344</v>
      </c>
      <c r="B345" t="s">
        <v>725</v>
      </c>
      <c r="C345">
        <v>768278</v>
      </c>
      <c r="D345" t="s">
        <v>32</v>
      </c>
      <c r="E345">
        <v>18</v>
      </c>
      <c r="F345" t="str">
        <f t="shared" si="10"/>
        <v>teenager</v>
      </c>
      <c r="G345" t="s">
        <v>19</v>
      </c>
      <c r="H345" t="str">
        <f t="shared" si="11"/>
        <v>Dec</v>
      </c>
      <c r="I345" t="s">
        <v>20</v>
      </c>
      <c r="J345" t="s">
        <v>40</v>
      </c>
      <c r="K345" t="s">
        <v>726</v>
      </c>
      <c r="L345" t="s">
        <v>58</v>
      </c>
      <c r="M345" t="s">
        <v>35</v>
      </c>
      <c r="N345">
        <v>1</v>
      </c>
      <c r="O345" t="s">
        <v>25</v>
      </c>
      <c r="P345">
        <v>551</v>
      </c>
      <c r="Q345" t="s">
        <v>26</v>
      </c>
      <c r="R345" t="s">
        <v>27</v>
      </c>
      <c r="S345" t="s">
        <v>28</v>
      </c>
      <c r="T345" t="s">
        <v>29</v>
      </c>
      <c r="U345" t="s">
        <v>43</v>
      </c>
    </row>
    <row r="346" spans="1:21" x14ac:dyDescent="0.25">
      <c r="A346">
        <v>345</v>
      </c>
      <c r="B346" t="s">
        <v>727</v>
      </c>
      <c r="C346">
        <v>449744</v>
      </c>
      <c r="D346" t="s">
        <v>18</v>
      </c>
      <c r="E346">
        <v>65</v>
      </c>
      <c r="F346" t="str">
        <f t="shared" si="10"/>
        <v>senior</v>
      </c>
      <c r="G346" t="s">
        <v>19</v>
      </c>
      <c r="H346" t="str">
        <f t="shared" si="11"/>
        <v>Dec</v>
      </c>
      <c r="I346" t="s">
        <v>20</v>
      </c>
      <c r="J346" t="s">
        <v>45</v>
      </c>
      <c r="K346" t="s">
        <v>728</v>
      </c>
      <c r="L346" t="s">
        <v>58</v>
      </c>
      <c r="M346" t="s">
        <v>76</v>
      </c>
      <c r="N346">
        <v>1</v>
      </c>
      <c r="O346" t="s">
        <v>25</v>
      </c>
      <c r="P346">
        <v>438</v>
      </c>
      <c r="Q346" t="s">
        <v>53</v>
      </c>
      <c r="R346" t="s">
        <v>54</v>
      </c>
      <c r="S346" t="s">
        <v>55</v>
      </c>
      <c r="T346" t="s">
        <v>29</v>
      </c>
      <c r="U346" t="s">
        <v>30</v>
      </c>
    </row>
    <row r="347" spans="1:21" x14ac:dyDescent="0.25">
      <c r="A347">
        <v>346</v>
      </c>
      <c r="B347" t="s">
        <v>729</v>
      </c>
      <c r="C347">
        <v>318745</v>
      </c>
      <c r="D347" t="s">
        <v>32</v>
      </c>
      <c r="E347">
        <v>28</v>
      </c>
      <c r="F347" t="str">
        <f t="shared" si="10"/>
        <v>teenager</v>
      </c>
      <c r="G347" t="s">
        <v>19</v>
      </c>
      <c r="H347" t="str">
        <f t="shared" si="11"/>
        <v>Dec</v>
      </c>
      <c r="I347" t="s">
        <v>20</v>
      </c>
      <c r="J347" t="s">
        <v>45</v>
      </c>
      <c r="K347" t="s">
        <v>730</v>
      </c>
      <c r="L347" t="s">
        <v>23</v>
      </c>
      <c r="M347" t="s">
        <v>50</v>
      </c>
      <c r="N347">
        <v>1</v>
      </c>
      <c r="O347" t="s">
        <v>25</v>
      </c>
      <c r="P347">
        <v>807</v>
      </c>
      <c r="Q347" t="s">
        <v>36</v>
      </c>
      <c r="R347" t="s">
        <v>37</v>
      </c>
      <c r="S347" t="s">
        <v>38</v>
      </c>
      <c r="T347" t="s">
        <v>29</v>
      </c>
      <c r="U347" t="s">
        <v>30</v>
      </c>
    </row>
    <row r="348" spans="1:21" x14ac:dyDescent="0.25">
      <c r="A348">
        <v>347</v>
      </c>
      <c r="B348" t="s">
        <v>731</v>
      </c>
      <c r="C348">
        <v>604636</v>
      </c>
      <c r="D348" t="s">
        <v>18</v>
      </c>
      <c r="E348">
        <v>62</v>
      </c>
      <c r="F348" t="str">
        <f t="shared" si="10"/>
        <v>senior</v>
      </c>
      <c r="G348" t="s">
        <v>19</v>
      </c>
      <c r="H348" t="str">
        <f t="shared" si="11"/>
        <v>Dec</v>
      </c>
      <c r="I348" t="s">
        <v>20</v>
      </c>
      <c r="J348" t="s">
        <v>45</v>
      </c>
      <c r="K348" t="s">
        <v>732</v>
      </c>
      <c r="L348" t="s">
        <v>23</v>
      </c>
      <c r="M348" t="s">
        <v>35</v>
      </c>
      <c r="N348">
        <v>1</v>
      </c>
      <c r="O348" t="s">
        <v>25</v>
      </c>
      <c r="P348">
        <v>1737</v>
      </c>
      <c r="Q348" t="s">
        <v>63</v>
      </c>
      <c r="R348" t="s">
        <v>64</v>
      </c>
      <c r="S348" t="s">
        <v>65</v>
      </c>
      <c r="T348" t="s">
        <v>29</v>
      </c>
      <c r="U348" t="s">
        <v>43</v>
      </c>
    </row>
    <row r="349" spans="1:21" x14ac:dyDescent="0.25">
      <c r="A349">
        <v>348</v>
      </c>
      <c r="B349" t="s">
        <v>733</v>
      </c>
      <c r="C349">
        <v>846386</v>
      </c>
      <c r="D349" t="s">
        <v>32</v>
      </c>
      <c r="E349">
        <v>40</v>
      </c>
      <c r="F349" t="str">
        <f t="shared" si="10"/>
        <v>adult</v>
      </c>
      <c r="G349" t="s">
        <v>19</v>
      </c>
      <c r="H349" t="str">
        <f t="shared" si="11"/>
        <v>Dec</v>
      </c>
      <c r="I349" t="s">
        <v>20</v>
      </c>
      <c r="J349" t="s">
        <v>40</v>
      </c>
      <c r="K349" t="s">
        <v>734</v>
      </c>
      <c r="L349" t="s">
        <v>23</v>
      </c>
      <c r="M349" t="s">
        <v>50</v>
      </c>
      <c r="N349">
        <v>1</v>
      </c>
      <c r="O349" t="s">
        <v>25</v>
      </c>
      <c r="P349">
        <v>1522</v>
      </c>
      <c r="Q349" t="s">
        <v>36</v>
      </c>
      <c r="R349" t="s">
        <v>37</v>
      </c>
      <c r="S349" t="s">
        <v>38</v>
      </c>
      <c r="T349" t="s">
        <v>29</v>
      </c>
      <c r="U349" t="s">
        <v>30</v>
      </c>
    </row>
    <row r="350" spans="1:21" x14ac:dyDescent="0.25">
      <c r="A350">
        <v>349</v>
      </c>
      <c r="B350" t="s">
        <v>735</v>
      </c>
      <c r="C350">
        <v>533918</v>
      </c>
      <c r="D350" t="s">
        <v>18</v>
      </c>
      <c r="E350">
        <v>60</v>
      </c>
      <c r="F350" t="str">
        <f t="shared" si="10"/>
        <v>senior</v>
      </c>
      <c r="G350" t="s">
        <v>19</v>
      </c>
      <c r="H350" t="str">
        <f t="shared" si="11"/>
        <v>Dec</v>
      </c>
      <c r="I350" t="s">
        <v>20</v>
      </c>
      <c r="J350" t="s">
        <v>21</v>
      </c>
      <c r="K350" t="s">
        <v>736</v>
      </c>
      <c r="L350" t="s">
        <v>42</v>
      </c>
      <c r="M350" t="s">
        <v>24</v>
      </c>
      <c r="N350">
        <v>1</v>
      </c>
      <c r="O350" t="s">
        <v>25</v>
      </c>
      <c r="P350">
        <v>1036</v>
      </c>
      <c r="Q350" t="s">
        <v>36</v>
      </c>
      <c r="R350" t="s">
        <v>37</v>
      </c>
      <c r="S350" t="s">
        <v>38</v>
      </c>
      <c r="T350" t="s">
        <v>29</v>
      </c>
      <c r="U350" t="s">
        <v>30</v>
      </c>
    </row>
    <row r="351" spans="1:21" x14ac:dyDescent="0.25">
      <c r="A351">
        <v>350</v>
      </c>
      <c r="B351" t="s">
        <v>737</v>
      </c>
      <c r="C351">
        <v>315158</v>
      </c>
      <c r="D351" t="s">
        <v>32</v>
      </c>
      <c r="E351">
        <v>26</v>
      </c>
      <c r="F351" t="str">
        <f t="shared" si="10"/>
        <v>teenager</v>
      </c>
      <c r="G351" t="s">
        <v>19</v>
      </c>
      <c r="H351" t="str">
        <f t="shared" si="11"/>
        <v>Dec</v>
      </c>
      <c r="I351" t="s">
        <v>20</v>
      </c>
      <c r="J351" t="s">
        <v>21</v>
      </c>
      <c r="K351" t="s">
        <v>738</v>
      </c>
      <c r="L351" t="s">
        <v>58</v>
      </c>
      <c r="M351" t="s">
        <v>35</v>
      </c>
      <c r="N351">
        <v>1</v>
      </c>
      <c r="O351" t="s">
        <v>25</v>
      </c>
      <c r="P351">
        <v>916</v>
      </c>
      <c r="Q351" t="s">
        <v>63</v>
      </c>
      <c r="R351" t="s">
        <v>64</v>
      </c>
      <c r="S351" t="s">
        <v>65</v>
      </c>
      <c r="T351" t="s">
        <v>29</v>
      </c>
      <c r="U351" t="s">
        <v>30</v>
      </c>
    </row>
    <row r="352" spans="1:21" x14ac:dyDescent="0.25">
      <c r="A352">
        <v>351</v>
      </c>
      <c r="B352" t="s">
        <v>739</v>
      </c>
      <c r="C352">
        <v>846519</v>
      </c>
      <c r="D352" t="s">
        <v>18</v>
      </c>
      <c r="E352">
        <v>33</v>
      </c>
      <c r="F352" t="str">
        <f t="shared" si="10"/>
        <v>adult</v>
      </c>
      <c r="G352" t="s">
        <v>19</v>
      </c>
      <c r="H352" t="str">
        <f t="shared" si="11"/>
        <v>Dec</v>
      </c>
      <c r="I352" t="s">
        <v>20</v>
      </c>
      <c r="J352" t="s">
        <v>21</v>
      </c>
      <c r="K352" t="s">
        <v>740</v>
      </c>
      <c r="L352" t="s">
        <v>42</v>
      </c>
      <c r="M352" t="s">
        <v>76</v>
      </c>
      <c r="N352">
        <v>1</v>
      </c>
      <c r="O352" t="s">
        <v>25</v>
      </c>
      <c r="P352">
        <v>799</v>
      </c>
      <c r="Q352" t="s">
        <v>26</v>
      </c>
      <c r="R352" t="s">
        <v>27</v>
      </c>
      <c r="S352" t="s">
        <v>28</v>
      </c>
      <c r="T352" t="s">
        <v>29</v>
      </c>
      <c r="U352" t="s">
        <v>30</v>
      </c>
    </row>
    <row r="353" spans="1:21" x14ac:dyDescent="0.25">
      <c r="A353">
        <v>352</v>
      </c>
      <c r="B353" t="s">
        <v>741</v>
      </c>
      <c r="C353">
        <v>350725</v>
      </c>
      <c r="D353" t="s">
        <v>32</v>
      </c>
      <c r="E353">
        <v>52</v>
      </c>
      <c r="F353" t="str">
        <f t="shared" si="10"/>
        <v>senior</v>
      </c>
      <c r="G353" t="s">
        <v>19</v>
      </c>
      <c r="H353" t="str">
        <f t="shared" si="11"/>
        <v>Dec</v>
      </c>
      <c r="I353" t="s">
        <v>20</v>
      </c>
      <c r="J353" t="s">
        <v>21</v>
      </c>
      <c r="K353" t="s">
        <v>742</v>
      </c>
      <c r="L353" t="s">
        <v>23</v>
      </c>
      <c r="M353" t="s">
        <v>24</v>
      </c>
      <c r="N353">
        <v>1</v>
      </c>
      <c r="O353" t="s">
        <v>25</v>
      </c>
      <c r="P353">
        <v>1355</v>
      </c>
      <c r="Q353" t="s">
        <v>63</v>
      </c>
      <c r="R353" t="s">
        <v>64</v>
      </c>
      <c r="S353" t="s">
        <v>65</v>
      </c>
      <c r="T353" t="s">
        <v>29</v>
      </c>
      <c r="U353" t="s">
        <v>43</v>
      </c>
    </row>
    <row r="354" spans="1:21" x14ac:dyDescent="0.25">
      <c r="A354">
        <v>353</v>
      </c>
      <c r="B354" t="s">
        <v>743</v>
      </c>
      <c r="C354">
        <v>117518</v>
      </c>
      <c r="D354" t="s">
        <v>18</v>
      </c>
      <c r="E354">
        <v>22</v>
      </c>
      <c r="F354" t="str">
        <f t="shared" si="10"/>
        <v>teenager</v>
      </c>
      <c r="G354" t="s">
        <v>19</v>
      </c>
      <c r="H354" t="str">
        <f t="shared" si="11"/>
        <v>Dec</v>
      </c>
      <c r="I354" t="s">
        <v>20</v>
      </c>
      <c r="J354" t="s">
        <v>21</v>
      </c>
      <c r="K354" t="s">
        <v>744</v>
      </c>
      <c r="L354" t="s">
        <v>23</v>
      </c>
      <c r="M354" t="s">
        <v>76</v>
      </c>
      <c r="N354">
        <v>1</v>
      </c>
      <c r="O354" t="s">
        <v>25</v>
      </c>
      <c r="P354">
        <v>312</v>
      </c>
      <c r="Q354" t="s">
        <v>53</v>
      </c>
      <c r="R354" t="s">
        <v>54</v>
      </c>
      <c r="S354" t="s">
        <v>55</v>
      </c>
      <c r="T354" t="s">
        <v>29</v>
      </c>
      <c r="U354" t="s">
        <v>30</v>
      </c>
    </row>
    <row r="355" spans="1:21" x14ac:dyDescent="0.25">
      <c r="A355">
        <v>354</v>
      </c>
      <c r="B355" t="s">
        <v>745</v>
      </c>
      <c r="C355">
        <v>947471</v>
      </c>
      <c r="D355" t="s">
        <v>32</v>
      </c>
      <c r="E355">
        <v>41</v>
      </c>
      <c r="F355" t="str">
        <f t="shared" si="10"/>
        <v>adult</v>
      </c>
      <c r="G355" t="s">
        <v>19</v>
      </c>
      <c r="H355" t="str">
        <f t="shared" si="11"/>
        <v>Dec</v>
      </c>
      <c r="I355" t="s">
        <v>20</v>
      </c>
      <c r="J355" t="s">
        <v>45</v>
      </c>
      <c r="K355" t="s">
        <v>746</v>
      </c>
      <c r="L355" t="s">
        <v>23</v>
      </c>
      <c r="M355" t="s">
        <v>47</v>
      </c>
      <c r="N355">
        <v>1</v>
      </c>
      <c r="O355" t="s">
        <v>25</v>
      </c>
      <c r="P355">
        <v>374</v>
      </c>
      <c r="Q355" t="s">
        <v>53</v>
      </c>
      <c r="R355" t="s">
        <v>54</v>
      </c>
      <c r="S355" t="s">
        <v>55</v>
      </c>
      <c r="T355" t="s">
        <v>29</v>
      </c>
      <c r="U355" t="s">
        <v>30</v>
      </c>
    </row>
    <row r="356" spans="1:21" x14ac:dyDescent="0.25">
      <c r="A356">
        <v>355</v>
      </c>
      <c r="B356" t="s">
        <v>747</v>
      </c>
      <c r="C356">
        <v>948120</v>
      </c>
      <c r="D356" t="s">
        <v>18</v>
      </c>
      <c r="E356">
        <v>41</v>
      </c>
      <c r="F356" t="str">
        <f t="shared" si="10"/>
        <v>adult</v>
      </c>
      <c r="G356" t="s">
        <v>19</v>
      </c>
      <c r="H356" t="str">
        <f t="shared" si="11"/>
        <v>Dec</v>
      </c>
      <c r="I356" t="s">
        <v>20</v>
      </c>
      <c r="J356" t="s">
        <v>45</v>
      </c>
      <c r="K356" t="s">
        <v>748</v>
      </c>
      <c r="L356" t="s">
        <v>23</v>
      </c>
      <c r="M356" t="s">
        <v>76</v>
      </c>
      <c r="N356">
        <v>1</v>
      </c>
      <c r="O356" t="s">
        <v>25</v>
      </c>
      <c r="P356">
        <v>1803</v>
      </c>
      <c r="Q356" t="s">
        <v>53</v>
      </c>
      <c r="R356" t="s">
        <v>54</v>
      </c>
      <c r="S356" t="s">
        <v>55</v>
      </c>
      <c r="T356" t="s">
        <v>29</v>
      </c>
      <c r="U356" t="s">
        <v>30</v>
      </c>
    </row>
    <row r="357" spans="1:21" x14ac:dyDescent="0.25">
      <c r="A357">
        <v>356</v>
      </c>
      <c r="B357" t="s">
        <v>749</v>
      </c>
      <c r="C357">
        <v>721392</v>
      </c>
      <c r="D357" t="s">
        <v>32</v>
      </c>
      <c r="E357">
        <v>24</v>
      </c>
      <c r="F357" t="str">
        <f t="shared" si="10"/>
        <v>teenager</v>
      </c>
      <c r="G357" t="s">
        <v>19</v>
      </c>
      <c r="H357" t="str">
        <f t="shared" si="11"/>
        <v>Dec</v>
      </c>
      <c r="I357" t="s">
        <v>20</v>
      </c>
      <c r="J357" t="s">
        <v>40</v>
      </c>
      <c r="K357" t="s">
        <v>750</v>
      </c>
      <c r="L357" t="s">
        <v>58</v>
      </c>
      <c r="M357" t="s">
        <v>76</v>
      </c>
      <c r="N357">
        <v>1</v>
      </c>
      <c r="O357" t="s">
        <v>25</v>
      </c>
      <c r="P357">
        <v>1439</v>
      </c>
      <c r="Q357" t="s">
        <v>63</v>
      </c>
      <c r="R357" t="s">
        <v>64</v>
      </c>
      <c r="S357" t="s">
        <v>65</v>
      </c>
      <c r="T357" t="s">
        <v>29</v>
      </c>
      <c r="U357" t="s">
        <v>30</v>
      </c>
    </row>
    <row r="358" spans="1:21" x14ac:dyDescent="0.25">
      <c r="A358">
        <v>357</v>
      </c>
      <c r="B358" t="s">
        <v>751</v>
      </c>
      <c r="C358">
        <v>400925</v>
      </c>
      <c r="D358" t="s">
        <v>18</v>
      </c>
      <c r="E358">
        <v>23</v>
      </c>
      <c r="F358" t="str">
        <f t="shared" si="10"/>
        <v>teenager</v>
      </c>
      <c r="G358" t="s">
        <v>19</v>
      </c>
      <c r="H358" t="str">
        <f t="shared" si="11"/>
        <v>Dec</v>
      </c>
      <c r="I358" t="s">
        <v>20</v>
      </c>
      <c r="J358" t="s">
        <v>21</v>
      </c>
      <c r="K358" t="s">
        <v>752</v>
      </c>
      <c r="L358" t="s">
        <v>23</v>
      </c>
      <c r="M358" t="s">
        <v>76</v>
      </c>
      <c r="N358">
        <v>1</v>
      </c>
      <c r="O358" t="s">
        <v>25</v>
      </c>
      <c r="P358">
        <v>1852</v>
      </c>
      <c r="Q358" t="s">
        <v>53</v>
      </c>
      <c r="R358" t="s">
        <v>54</v>
      </c>
      <c r="S358" t="s">
        <v>55</v>
      </c>
      <c r="T358" t="s">
        <v>29</v>
      </c>
      <c r="U358" t="s">
        <v>43</v>
      </c>
    </row>
    <row r="359" spans="1:21" x14ac:dyDescent="0.25">
      <c r="A359">
        <v>358</v>
      </c>
      <c r="B359" t="s">
        <v>753</v>
      </c>
      <c r="C359">
        <v>190502</v>
      </c>
      <c r="D359" t="s">
        <v>32</v>
      </c>
      <c r="E359">
        <v>69</v>
      </c>
      <c r="F359" t="str">
        <f t="shared" si="10"/>
        <v>senior</v>
      </c>
      <c r="G359" t="s">
        <v>19</v>
      </c>
      <c r="H359" t="str">
        <f t="shared" si="11"/>
        <v>Dec</v>
      </c>
      <c r="I359" t="s">
        <v>20</v>
      </c>
      <c r="J359" t="s">
        <v>33</v>
      </c>
      <c r="K359" t="s">
        <v>754</v>
      </c>
      <c r="L359" t="s">
        <v>42</v>
      </c>
      <c r="M359" t="s">
        <v>47</v>
      </c>
      <c r="N359">
        <v>1</v>
      </c>
      <c r="O359" t="s">
        <v>25</v>
      </c>
      <c r="P359">
        <v>330</v>
      </c>
      <c r="Q359" t="s">
        <v>36</v>
      </c>
      <c r="R359" t="s">
        <v>37</v>
      </c>
      <c r="S359" t="s">
        <v>38</v>
      </c>
      <c r="T359" t="s">
        <v>29</v>
      </c>
      <c r="U359" t="s">
        <v>30</v>
      </c>
    </row>
    <row r="360" spans="1:21" x14ac:dyDescent="0.25">
      <c r="A360">
        <v>359</v>
      </c>
      <c r="B360" t="s">
        <v>755</v>
      </c>
      <c r="C360">
        <v>287737</v>
      </c>
      <c r="D360" t="s">
        <v>18</v>
      </c>
      <c r="E360">
        <v>28</v>
      </c>
      <c r="F360" t="str">
        <f t="shared" si="10"/>
        <v>teenager</v>
      </c>
      <c r="G360" t="s">
        <v>19</v>
      </c>
      <c r="H360" t="str">
        <f t="shared" si="11"/>
        <v>Dec</v>
      </c>
      <c r="I360" t="s">
        <v>20</v>
      </c>
      <c r="J360" t="s">
        <v>40</v>
      </c>
      <c r="K360" t="s">
        <v>756</v>
      </c>
      <c r="L360" t="s">
        <v>23</v>
      </c>
      <c r="M360" t="s">
        <v>24</v>
      </c>
      <c r="N360">
        <v>1</v>
      </c>
      <c r="O360" t="s">
        <v>25</v>
      </c>
      <c r="P360">
        <v>1546</v>
      </c>
      <c r="Q360" t="s">
        <v>63</v>
      </c>
      <c r="R360" t="s">
        <v>64</v>
      </c>
      <c r="S360" t="s">
        <v>65</v>
      </c>
      <c r="T360" t="s">
        <v>29</v>
      </c>
      <c r="U360" t="s">
        <v>30</v>
      </c>
    </row>
    <row r="361" spans="1:21" x14ac:dyDescent="0.25">
      <c r="A361">
        <v>360</v>
      </c>
      <c r="B361" t="s">
        <v>757</v>
      </c>
      <c r="C361">
        <v>883783</v>
      </c>
      <c r="D361" t="s">
        <v>32</v>
      </c>
      <c r="E361">
        <v>47</v>
      </c>
      <c r="F361" t="str">
        <f t="shared" si="10"/>
        <v>adult</v>
      </c>
      <c r="G361" t="s">
        <v>19</v>
      </c>
      <c r="H361" t="str">
        <f t="shared" si="11"/>
        <v>Dec</v>
      </c>
      <c r="I361" t="s">
        <v>20</v>
      </c>
      <c r="J361" t="s">
        <v>45</v>
      </c>
      <c r="K361" t="s">
        <v>758</v>
      </c>
      <c r="L361" t="s">
        <v>42</v>
      </c>
      <c r="M361" t="s">
        <v>76</v>
      </c>
      <c r="N361">
        <v>1</v>
      </c>
      <c r="O361" t="s">
        <v>25</v>
      </c>
      <c r="P361">
        <v>1159</v>
      </c>
      <c r="Q361" t="s">
        <v>26</v>
      </c>
      <c r="R361" t="s">
        <v>27</v>
      </c>
      <c r="S361" t="s">
        <v>28</v>
      </c>
      <c r="T361" t="s">
        <v>29</v>
      </c>
      <c r="U361" t="s">
        <v>30</v>
      </c>
    </row>
    <row r="362" spans="1:21" x14ac:dyDescent="0.25">
      <c r="A362">
        <v>361</v>
      </c>
      <c r="B362" t="s">
        <v>759</v>
      </c>
      <c r="C362">
        <v>385155</v>
      </c>
      <c r="D362" t="s">
        <v>18</v>
      </c>
      <c r="E362">
        <v>60</v>
      </c>
      <c r="F362" t="str">
        <f t="shared" si="10"/>
        <v>senior</v>
      </c>
      <c r="G362" t="s">
        <v>19</v>
      </c>
      <c r="H362" t="str">
        <f t="shared" si="11"/>
        <v>Dec</v>
      </c>
      <c r="I362" t="s">
        <v>20</v>
      </c>
      <c r="J362" t="s">
        <v>21</v>
      </c>
      <c r="K362" t="s">
        <v>760</v>
      </c>
      <c r="L362" t="s">
        <v>23</v>
      </c>
      <c r="M362" t="s">
        <v>24</v>
      </c>
      <c r="N362">
        <v>1</v>
      </c>
      <c r="O362" t="s">
        <v>25</v>
      </c>
      <c r="P362">
        <v>1441</v>
      </c>
      <c r="Q362" t="s">
        <v>63</v>
      </c>
      <c r="R362" t="s">
        <v>64</v>
      </c>
      <c r="S362" t="s">
        <v>65</v>
      </c>
      <c r="T362" t="s">
        <v>29</v>
      </c>
      <c r="U362" t="s">
        <v>43</v>
      </c>
    </row>
    <row r="363" spans="1:21" x14ac:dyDescent="0.25">
      <c r="A363">
        <v>362</v>
      </c>
      <c r="B363" t="s">
        <v>761</v>
      </c>
      <c r="C363">
        <v>331708</v>
      </c>
      <c r="D363" t="s">
        <v>32</v>
      </c>
      <c r="E363">
        <v>52</v>
      </c>
      <c r="F363" t="str">
        <f t="shared" si="10"/>
        <v>senior</v>
      </c>
      <c r="G363" t="s">
        <v>19</v>
      </c>
      <c r="H363" t="str">
        <f t="shared" si="11"/>
        <v>Dec</v>
      </c>
      <c r="I363" t="s">
        <v>20</v>
      </c>
      <c r="J363" t="s">
        <v>33</v>
      </c>
      <c r="K363" t="s">
        <v>762</v>
      </c>
      <c r="L363" t="s">
        <v>58</v>
      </c>
      <c r="M363" t="s">
        <v>76</v>
      </c>
      <c r="N363">
        <v>1</v>
      </c>
      <c r="O363" t="s">
        <v>25</v>
      </c>
      <c r="P363">
        <v>368</v>
      </c>
      <c r="Q363" t="s">
        <v>63</v>
      </c>
      <c r="R363" t="s">
        <v>64</v>
      </c>
      <c r="S363" t="s">
        <v>65</v>
      </c>
      <c r="T363" t="s">
        <v>29</v>
      </c>
      <c r="U363" t="s">
        <v>43</v>
      </c>
    </row>
    <row r="364" spans="1:21" x14ac:dyDescent="0.25">
      <c r="A364">
        <v>363</v>
      </c>
      <c r="B364" t="s">
        <v>763</v>
      </c>
      <c r="C364">
        <v>569951</v>
      </c>
      <c r="D364" t="s">
        <v>18</v>
      </c>
      <c r="E364">
        <v>52</v>
      </c>
      <c r="F364" t="str">
        <f t="shared" si="10"/>
        <v>senior</v>
      </c>
      <c r="G364" t="s">
        <v>19</v>
      </c>
      <c r="H364" t="str">
        <f t="shared" si="11"/>
        <v>Dec</v>
      </c>
      <c r="I364" t="s">
        <v>20</v>
      </c>
      <c r="J364" t="s">
        <v>45</v>
      </c>
      <c r="K364" t="s">
        <v>764</v>
      </c>
      <c r="L364" t="s">
        <v>58</v>
      </c>
      <c r="M364" t="s">
        <v>24</v>
      </c>
      <c r="N364">
        <v>1</v>
      </c>
      <c r="O364" t="s">
        <v>25</v>
      </c>
      <c r="P364">
        <v>302</v>
      </c>
      <c r="Q364" t="s">
        <v>63</v>
      </c>
      <c r="R364" t="s">
        <v>64</v>
      </c>
      <c r="S364" t="s">
        <v>65</v>
      </c>
      <c r="T364" t="s">
        <v>29</v>
      </c>
      <c r="U364" t="s">
        <v>30</v>
      </c>
    </row>
    <row r="365" spans="1:21" x14ac:dyDescent="0.25">
      <c r="A365">
        <v>364</v>
      </c>
      <c r="B365" t="s">
        <v>765</v>
      </c>
      <c r="C365">
        <v>834241</v>
      </c>
      <c r="D365" t="s">
        <v>32</v>
      </c>
      <c r="E365">
        <v>57</v>
      </c>
      <c r="F365" t="str">
        <f t="shared" si="10"/>
        <v>senior</v>
      </c>
      <c r="G365" t="s">
        <v>19</v>
      </c>
      <c r="H365" t="str">
        <f t="shared" si="11"/>
        <v>Dec</v>
      </c>
      <c r="I365" t="s">
        <v>20</v>
      </c>
      <c r="J365" t="s">
        <v>21</v>
      </c>
      <c r="K365" t="s">
        <v>766</v>
      </c>
      <c r="L365" t="s">
        <v>58</v>
      </c>
      <c r="M365" t="s">
        <v>76</v>
      </c>
      <c r="N365">
        <v>1</v>
      </c>
      <c r="O365" t="s">
        <v>25</v>
      </c>
      <c r="P365">
        <v>593</v>
      </c>
      <c r="Q365" t="s">
        <v>36</v>
      </c>
      <c r="R365" t="s">
        <v>37</v>
      </c>
      <c r="S365" t="s">
        <v>38</v>
      </c>
      <c r="T365" t="s">
        <v>29</v>
      </c>
      <c r="U365" t="s">
        <v>43</v>
      </c>
    </row>
    <row r="366" spans="1:21" x14ac:dyDescent="0.25">
      <c r="A366">
        <v>365</v>
      </c>
      <c r="B366" t="s">
        <v>767</v>
      </c>
      <c r="C366">
        <v>141104</v>
      </c>
      <c r="D366" t="s">
        <v>18</v>
      </c>
      <c r="E366">
        <v>18</v>
      </c>
      <c r="F366" t="str">
        <f t="shared" si="10"/>
        <v>teenager</v>
      </c>
      <c r="G366" t="s">
        <v>19</v>
      </c>
      <c r="H366" t="str">
        <f t="shared" si="11"/>
        <v>Dec</v>
      </c>
      <c r="I366" t="s">
        <v>20</v>
      </c>
      <c r="J366" t="s">
        <v>40</v>
      </c>
      <c r="K366" t="s">
        <v>768</v>
      </c>
      <c r="L366" t="s">
        <v>42</v>
      </c>
      <c r="M366" t="s">
        <v>47</v>
      </c>
      <c r="N366">
        <v>1</v>
      </c>
      <c r="O366" t="s">
        <v>25</v>
      </c>
      <c r="P366">
        <v>1062</v>
      </c>
      <c r="Q366" t="s">
        <v>36</v>
      </c>
      <c r="R366" t="s">
        <v>37</v>
      </c>
      <c r="S366" t="s">
        <v>38</v>
      </c>
      <c r="T366" t="s">
        <v>29</v>
      </c>
      <c r="U366" t="s">
        <v>30</v>
      </c>
    </row>
    <row r="367" spans="1:21" x14ac:dyDescent="0.25">
      <c r="A367">
        <v>366</v>
      </c>
      <c r="B367" t="s">
        <v>769</v>
      </c>
      <c r="C367">
        <v>896553</v>
      </c>
      <c r="D367" t="s">
        <v>32</v>
      </c>
      <c r="E367">
        <v>36</v>
      </c>
      <c r="F367" t="str">
        <f t="shared" si="10"/>
        <v>adult</v>
      </c>
      <c r="G367" t="s">
        <v>19</v>
      </c>
      <c r="H367" t="str">
        <f t="shared" si="11"/>
        <v>Dec</v>
      </c>
      <c r="I367" t="s">
        <v>20</v>
      </c>
      <c r="J367" t="s">
        <v>45</v>
      </c>
      <c r="K367" t="s">
        <v>770</v>
      </c>
      <c r="L367" t="s">
        <v>58</v>
      </c>
      <c r="M367" t="s">
        <v>50</v>
      </c>
      <c r="N367">
        <v>1</v>
      </c>
      <c r="O367" t="s">
        <v>25</v>
      </c>
      <c r="P367">
        <v>1763</v>
      </c>
      <c r="Q367" t="s">
        <v>53</v>
      </c>
      <c r="R367" t="s">
        <v>54</v>
      </c>
      <c r="S367" t="s">
        <v>55</v>
      </c>
      <c r="T367" t="s">
        <v>29</v>
      </c>
      <c r="U367" t="s">
        <v>30</v>
      </c>
    </row>
    <row r="368" spans="1:21" x14ac:dyDescent="0.25">
      <c r="A368">
        <v>367</v>
      </c>
      <c r="B368" t="s">
        <v>771</v>
      </c>
      <c r="C368">
        <v>782869</v>
      </c>
      <c r="D368" t="s">
        <v>18</v>
      </c>
      <c r="E368">
        <v>57</v>
      </c>
      <c r="F368" t="str">
        <f t="shared" si="10"/>
        <v>senior</v>
      </c>
      <c r="G368" t="s">
        <v>19</v>
      </c>
      <c r="H368" t="str">
        <f t="shared" si="11"/>
        <v>Dec</v>
      </c>
      <c r="I368" t="s">
        <v>20</v>
      </c>
      <c r="J368" t="s">
        <v>21</v>
      </c>
      <c r="K368" t="s">
        <v>772</v>
      </c>
      <c r="L368" t="s">
        <v>42</v>
      </c>
      <c r="M368" t="s">
        <v>47</v>
      </c>
      <c r="N368">
        <v>1</v>
      </c>
      <c r="O368" t="s">
        <v>25</v>
      </c>
      <c r="P368">
        <v>972</v>
      </c>
      <c r="Q368" t="s">
        <v>53</v>
      </c>
      <c r="R368" t="s">
        <v>54</v>
      </c>
      <c r="S368" t="s">
        <v>55</v>
      </c>
      <c r="T368" t="s">
        <v>29</v>
      </c>
      <c r="U368" t="s">
        <v>43</v>
      </c>
    </row>
    <row r="369" spans="1:21" x14ac:dyDescent="0.25">
      <c r="A369">
        <v>368</v>
      </c>
      <c r="B369" t="s">
        <v>773</v>
      </c>
      <c r="C369">
        <v>525644</v>
      </c>
      <c r="D369" t="s">
        <v>32</v>
      </c>
      <c r="E369">
        <v>64</v>
      </c>
      <c r="F369" t="str">
        <f t="shared" si="10"/>
        <v>senior</v>
      </c>
      <c r="G369" t="s">
        <v>19</v>
      </c>
      <c r="H369" t="str">
        <f t="shared" si="11"/>
        <v>Dec</v>
      </c>
      <c r="I369" t="s">
        <v>20</v>
      </c>
      <c r="J369" t="s">
        <v>21</v>
      </c>
      <c r="K369" t="s">
        <v>774</v>
      </c>
      <c r="L369" t="s">
        <v>23</v>
      </c>
      <c r="M369" t="s">
        <v>76</v>
      </c>
      <c r="N369">
        <v>1</v>
      </c>
      <c r="O369" t="s">
        <v>25</v>
      </c>
      <c r="P369">
        <v>1504</v>
      </c>
      <c r="Q369" t="s">
        <v>63</v>
      </c>
      <c r="R369" t="s">
        <v>64</v>
      </c>
      <c r="S369" t="s">
        <v>65</v>
      </c>
      <c r="T369" t="s">
        <v>29</v>
      </c>
      <c r="U369" t="s">
        <v>43</v>
      </c>
    </row>
    <row r="370" spans="1:21" x14ac:dyDescent="0.25">
      <c r="A370">
        <v>369</v>
      </c>
      <c r="B370" t="s">
        <v>775</v>
      </c>
      <c r="C370">
        <v>340531</v>
      </c>
      <c r="D370" t="s">
        <v>18</v>
      </c>
      <c r="E370">
        <v>54</v>
      </c>
      <c r="F370" t="str">
        <f t="shared" si="10"/>
        <v>senior</v>
      </c>
      <c r="G370" t="s">
        <v>19</v>
      </c>
      <c r="H370" t="str">
        <f t="shared" si="11"/>
        <v>Dec</v>
      </c>
      <c r="I370" t="s">
        <v>20</v>
      </c>
      <c r="J370" t="s">
        <v>40</v>
      </c>
      <c r="K370" t="s">
        <v>776</v>
      </c>
      <c r="L370" t="s">
        <v>58</v>
      </c>
      <c r="M370" t="s">
        <v>24</v>
      </c>
      <c r="N370">
        <v>1</v>
      </c>
      <c r="O370" t="s">
        <v>25</v>
      </c>
      <c r="P370">
        <v>1770</v>
      </c>
      <c r="Q370" t="s">
        <v>63</v>
      </c>
      <c r="R370" t="s">
        <v>64</v>
      </c>
      <c r="S370" t="s">
        <v>65</v>
      </c>
      <c r="T370" t="s">
        <v>29</v>
      </c>
      <c r="U370" t="s">
        <v>30</v>
      </c>
    </row>
    <row r="371" spans="1:21" x14ac:dyDescent="0.25">
      <c r="A371">
        <v>370</v>
      </c>
      <c r="B371" t="s">
        <v>777</v>
      </c>
      <c r="C371">
        <v>200357</v>
      </c>
      <c r="D371" t="s">
        <v>32</v>
      </c>
      <c r="E371">
        <v>33</v>
      </c>
      <c r="F371" t="str">
        <f t="shared" si="10"/>
        <v>adult</v>
      </c>
      <c r="G371" t="s">
        <v>19</v>
      </c>
      <c r="H371" t="str">
        <f t="shared" si="11"/>
        <v>Dec</v>
      </c>
      <c r="I371" t="s">
        <v>20</v>
      </c>
      <c r="J371" t="s">
        <v>21</v>
      </c>
      <c r="K371" t="s">
        <v>778</v>
      </c>
      <c r="L371" t="s">
        <v>42</v>
      </c>
      <c r="M371" t="s">
        <v>24</v>
      </c>
      <c r="N371">
        <v>1</v>
      </c>
      <c r="O371" t="s">
        <v>25</v>
      </c>
      <c r="P371">
        <v>1723</v>
      </c>
      <c r="Q371" t="s">
        <v>26</v>
      </c>
      <c r="R371" t="s">
        <v>27</v>
      </c>
      <c r="S371" t="s">
        <v>28</v>
      </c>
      <c r="T371" t="s">
        <v>29</v>
      </c>
      <c r="U371" t="s">
        <v>43</v>
      </c>
    </row>
    <row r="372" spans="1:21" x14ac:dyDescent="0.25">
      <c r="A372">
        <v>371</v>
      </c>
      <c r="B372" t="s">
        <v>779</v>
      </c>
      <c r="C372">
        <v>175680</v>
      </c>
      <c r="D372" t="s">
        <v>18</v>
      </c>
      <c r="E372">
        <v>41</v>
      </c>
      <c r="F372" t="str">
        <f t="shared" si="10"/>
        <v>adult</v>
      </c>
      <c r="G372" t="s">
        <v>19</v>
      </c>
      <c r="H372" t="str">
        <f t="shared" si="11"/>
        <v>Dec</v>
      </c>
      <c r="I372" t="s">
        <v>20</v>
      </c>
      <c r="J372" t="s">
        <v>33</v>
      </c>
      <c r="K372" t="s">
        <v>780</v>
      </c>
      <c r="L372" t="s">
        <v>23</v>
      </c>
      <c r="M372" t="s">
        <v>76</v>
      </c>
      <c r="N372">
        <v>1</v>
      </c>
      <c r="O372" t="s">
        <v>25</v>
      </c>
      <c r="P372">
        <v>350</v>
      </c>
      <c r="Q372" t="s">
        <v>36</v>
      </c>
      <c r="R372" t="s">
        <v>37</v>
      </c>
      <c r="S372" t="s">
        <v>38</v>
      </c>
      <c r="T372" t="s">
        <v>29</v>
      </c>
      <c r="U372" t="s">
        <v>43</v>
      </c>
    </row>
    <row r="373" spans="1:21" x14ac:dyDescent="0.25">
      <c r="A373">
        <v>372</v>
      </c>
      <c r="B373" t="s">
        <v>781</v>
      </c>
      <c r="C373">
        <v>924883</v>
      </c>
      <c r="D373" t="s">
        <v>32</v>
      </c>
      <c r="E373">
        <v>57</v>
      </c>
      <c r="F373" t="str">
        <f t="shared" si="10"/>
        <v>senior</v>
      </c>
      <c r="G373" t="s">
        <v>19</v>
      </c>
      <c r="H373" t="str">
        <f t="shared" si="11"/>
        <v>Dec</v>
      </c>
      <c r="I373" t="s">
        <v>20</v>
      </c>
      <c r="J373" t="s">
        <v>45</v>
      </c>
      <c r="K373" t="s">
        <v>782</v>
      </c>
      <c r="L373" t="s">
        <v>42</v>
      </c>
      <c r="M373" t="s">
        <v>35</v>
      </c>
      <c r="N373">
        <v>1</v>
      </c>
      <c r="O373" t="s">
        <v>25</v>
      </c>
      <c r="P373">
        <v>836</v>
      </c>
      <c r="Q373" t="s">
        <v>36</v>
      </c>
      <c r="R373" t="s">
        <v>37</v>
      </c>
      <c r="S373" t="s">
        <v>38</v>
      </c>
      <c r="T373" t="s">
        <v>29</v>
      </c>
      <c r="U373" t="s">
        <v>30</v>
      </c>
    </row>
    <row r="374" spans="1:21" x14ac:dyDescent="0.25">
      <c r="A374">
        <v>373</v>
      </c>
      <c r="B374" t="s">
        <v>783</v>
      </c>
      <c r="C374">
        <v>739919</v>
      </c>
      <c r="D374" t="s">
        <v>18</v>
      </c>
      <c r="E374">
        <v>53</v>
      </c>
      <c r="F374" t="str">
        <f t="shared" si="10"/>
        <v>senior</v>
      </c>
      <c r="G374" t="s">
        <v>19</v>
      </c>
      <c r="H374" t="str">
        <f t="shared" si="11"/>
        <v>Dec</v>
      </c>
      <c r="I374" t="s">
        <v>20</v>
      </c>
      <c r="J374" t="s">
        <v>21</v>
      </c>
      <c r="K374" t="s">
        <v>784</v>
      </c>
      <c r="L374" t="s">
        <v>42</v>
      </c>
      <c r="M374" t="s">
        <v>47</v>
      </c>
      <c r="N374">
        <v>1</v>
      </c>
      <c r="O374" t="s">
        <v>25</v>
      </c>
      <c r="P374">
        <v>502</v>
      </c>
      <c r="Q374" t="s">
        <v>26</v>
      </c>
      <c r="R374" t="s">
        <v>27</v>
      </c>
      <c r="S374" t="s">
        <v>28</v>
      </c>
      <c r="T374" t="s">
        <v>29</v>
      </c>
      <c r="U374" t="s">
        <v>43</v>
      </c>
    </row>
    <row r="375" spans="1:21" x14ac:dyDescent="0.25">
      <c r="A375">
        <v>374</v>
      </c>
      <c r="B375" t="s">
        <v>785</v>
      </c>
      <c r="C375">
        <v>679291</v>
      </c>
      <c r="D375" t="s">
        <v>32</v>
      </c>
      <c r="E375">
        <v>35</v>
      </c>
      <c r="F375" t="str">
        <f t="shared" si="10"/>
        <v>adult</v>
      </c>
      <c r="G375" t="s">
        <v>19</v>
      </c>
      <c r="H375" t="str">
        <f t="shared" si="11"/>
        <v>Dec</v>
      </c>
      <c r="I375" t="s">
        <v>20</v>
      </c>
      <c r="J375" t="s">
        <v>45</v>
      </c>
      <c r="K375" t="s">
        <v>786</v>
      </c>
      <c r="L375" t="s">
        <v>23</v>
      </c>
      <c r="M375" t="s">
        <v>35</v>
      </c>
      <c r="N375">
        <v>1</v>
      </c>
      <c r="O375" t="s">
        <v>25</v>
      </c>
      <c r="P375">
        <v>668</v>
      </c>
      <c r="Q375" t="s">
        <v>36</v>
      </c>
      <c r="R375" t="s">
        <v>37</v>
      </c>
      <c r="S375" t="s">
        <v>38</v>
      </c>
      <c r="T375" t="s">
        <v>29</v>
      </c>
      <c r="U375" t="s">
        <v>30</v>
      </c>
    </row>
    <row r="376" spans="1:21" x14ac:dyDescent="0.25">
      <c r="A376">
        <v>375</v>
      </c>
      <c r="B376" t="s">
        <v>787</v>
      </c>
      <c r="C376">
        <v>951803</v>
      </c>
      <c r="D376" t="s">
        <v>18</v>
      </c>
      <c r="E376">
        <v>35</v>
      </c>
      <c r="F376" t="str">
        <f t="shared" si="10"/>
        <v>adult</v>
      </c>
      <c r="G376" t="s">
        <v>19</v>
      </c>
      <c r="H376" t="str">
        <f t="shared" si="11"/>
        <v>Dec</v>
      </c>
      <c r="I376" t="s">
        <v>20</v>
      </c>
      <c r="J376" t="s">
        <v>21</v>
      </c>
      <c r="K376" t="s">
        <v>788</v>
      </c>
      <c r="L376" t="s">
        <v>23</v>
      </c>
      <c r="M376" t="s">
        <v>24</v>
      </c>
      <c r="N376">
        <v>1</v>
      </c>
      <c r="O376" t="s">
        <v>25</v>
      </c>
      <c r="P376">
        <v>923</v>
      </c>
      <c r="Q376" t="s">
        <v>36</v>
      </c>
      <c r="R376" t="s">
        <v>37</v>
      </c>
      <c r="S376" t="s">
        <v>38</v>
      </c>
      <c r="T376" t="s">
        <v>29</v>
      </c>
      <c r="U376" t="s">
        <v>30</v>
      </c>
    </row>
    <row r="377" spans="1:21" x14ac:dyDescent="0.25">
      <c r="A377">
        <v>376</v>
      </c>
      <c r="B377" t="s">
        <v>789</v>
      </c>
      <c r="C377">
        <v>803471</v>
      </c>
      <c r="D377" t="s">
        <v>32</v>
      </c>
      <c r="E377">
        <v>27</v>
      </c>
      <c r="F377" t="str">
        <f t="shared" si="10"/>
        <v>teenager</v>
      </c>
      <c r="G377" t="s">
        <v>19</v>
      </c>
      <c r="H377" t="str">
        <f t="shared" si="11"/>
        <v>Dec</v>
      </c>
      <c r="I377" t="s">
        <v>20</v>
      </c>
      <c r="J377" t="s">
        <v>21</v>
      </c>
      <c r="K377" t="s">
        <v>790</v>
      </c>
      <c r="L377" t="s">
        <v>23</v>
      </c>
      <c r="M377" t="s">
        <v>76</v>
      </c>
      <c r="N377">
        <v>1</v>
      </c>
      <c r="O377" t="s">
        <v>25</v>
      </c>
      <c r="P377">
        <v>1982</v>
      </c>
      <c r="Q377" t="s">
        <v>36</v>
      </c>
      <c r="R377" t="s">
        <v>37</v>
      </c>
      <c r="S377" t="s">
        <v>38</v>
      </c>
      <c r="T377" t="s">
        <v>29</v>
      </c>
      <c r="U377" t="s">
        <v>30</v>
      </c>
    </row>
    <row r="378" spans="1:21" x14ac:dyDescent="0.25">
      <c r="A378">
        <v>377</v>
      </c>
      <c r="B378" t="s">
        <v>791</v>
      </c>
      <c r="C378">
        <v>461291</v>
      </c>
      <c r="D378" t="s">
        <v>18</v>
      </c>
      <c r="E378">
        <v>63</v>
      </c>
      <c r="F378" t="str">
        <f t="shared" si="10"/>
        <v>senior</v>
      </c>
      <c r="G378" t="s">
        <v>19</v>
      </c>
      <c r="H378" t="str">
        <f t="shared" si="11"/>
        <v>Dec</v>
      </c>
      <c r="I378" t="s">
        <v>20</v>
      </c>
      <c r="J378" t="s">
        <v>33</v>
      </c>
      <c r="K378" t="s">
        <v>792</v>
      </c>
      <c r="L378" t="s">
        <v>58</v>
      </c>
      <c r="M378" t="s">
        <v>76</v>
      </c>
      <c r="N378">
        <v>1</v>
      </c>
      <c r="O378" t="s">
        <v>25</v>
      </c>
      <c r="P378">
        <v>1613</v>
      </c>
      <c r="Q378" t="s">
        <v>26</v>
      </c>
      <c r="R378" t="s">
        <v>27</v>
      </c>
      <c r="S378" t="s">
        <v>28</v>
      </c>
      <c r="T378" t="s">
        <v>29</v>
      </c>
      <c r="U378" t="s">
        <v>43</v>
      </c>
    </row>
    <row r="379" spans="1:21" x14ac:dyDescent="0.25">
      <c r="A379">
        <v>378</v>
      </c>
      <c r="B379" t="s">
        <v>793</v>
      </c>
      <c r="C379">
        <v>101246</v>
      </c>
      <c r="D379" t="s">
        <v>32</v>
      </c>
      <c r="E379">
        <v>55</v>
      </c>
      <c r="F379" t="str">
        <f t="shared" si="10"/>
        <v>senior</v>
      </c>
      <c r="G379" t="s">
        <v>19</v>
      </c>
      <c r="H379" t="str">
        <f t="shared" si="11"/>
        <v>Dec</v>
      </c>
      <c r="I379" t="s">
        <v>20</v>
      </c>
      <c r="J379" t="s">
        <v>40</v>
      </c>
      <c r="K379" t="s">
        <v>794</v>
      </c>
      <c r="L379" t="s">
        <v>58</v>
      </c>
      <c r="M379" t="s">
        <v>24</v>
      </c>
      <c r="N379">
        <v>1</v>
      </c>
      <c r="O379" t="s">
        <v>25</v>
      </c>
      <c r="P379">
        <v>477</v>
      </c>
      <c r="Q379" t="s">
        <v>53</v>
      </c>
      <c r="R379" t="s">
        <v>54</v>
      </c>
      <c r="S379" t="s">
        <v>55</v>
      </c>
      <c r="T379" t="s">
        <v>29</v>
      </c>
      <c r="U379" t="s">
        <v>43</v>
      </c>
    </row>
    <row r="380" spans="1:21" x14ac:dyDescent="0.25">
      <c r="A380">
        <v>379</v>
      </c>
      <c r="B380" t="s">
        <v>795</v>
      </c>
      <c r="C380">
        <v>652382</v>
      </c>
      <c r="D380" t="s">
        <v>18</v>
      </c>
      <c r="E380">
        <v>22</v>
      </c>
      <c r="F380" t="str">
        <f t="shared" si="10"/>
        <v>teenager</v>
      </c>
      <c r="G380" t="s">
        <v>19</v>
      </c>
      <c r="H380" t="str">
        <f t="shared" si="11"/>
        <v>Dec</v>
      </c>
      <c r="I380" t="s">
        <v>20</v>
      </c>
      <c r="J380" t="s">
        <v>21</v>
      </c>
      <c r="K380" t="s">
        <v>796</v>
      </c>
      <c r="L380" t="s">
        <v>42</v>
      </c>
      <c r="M380" t="s">
        <v>50</v>
      </c>
      <c r="N380">
        <v>1</v>
      </c>
      <c r="O380" t="s">
        <v>25</v>
      </c>
      <c r="P380">
        <v>1257</v>
      </c>
      <c r="Q380" t="s">
        <v>63</v>
      </c>
      <c r="R380" t="s">
        <v>64</v>
      </c>
      <c r="S380" t="s">
        <v>65</v>
      </c>
      <c r="T380" t="s">
        <v>29</v>
      </c>
      <c r="U380" t="s">
        <v>30</v>
      </c>
    </row>
    <row r="381" spans="1:21" x14ac:dyDescent="0.25">
      <c r="A381">
        <v>380</v>
      </c>
      <c r="B381" t="s">
        <v>797</v>
      </c>
      <c r="C381">
        <v>481327</v>
      </c>
      <c r="D381" t="s">
        <v>32</v>
      </c>
      <c r="E381">
        <v>66</v>
      </c>
      <c r="F381" t="str">
        <f t="shared" si="10"/>
        <v>senior</v>
      </c>
      <c r="G381" t="s">
        <v>19</v>
      </c>
      <c r="H381" t="str">
        <f t="shared" si="11"/>
        <v>Dec</v>
      </c>
      <c r="I381" t="s">
        <v>20</v>
      </c>
      <c r="J381" t="s">
        <v>21</v>
      </c>
      <c r="K381" t="s">
        <v>798</v>
      </c>
      <c r="L381" t="s">
        <v>42</v>
      </c>
      <c r="M381" t="s">
        <v>24</v>
      </c>
      <c r="N381">
        <v>1</v>
      </c>
      <c r="O381" t="s">
        <v>25</v>
      </c>
      <c r="P381">
        <v>1384</v>
      </c>
      <c r="Q381" t="s">
        <v>63</v>
      </c>
      <c r="R381" t="s">
        <v>64</v>
      </c>
      <c r="S381" t="s">
        <v>65</v>
      </c>
      <c r="T381" t="s">
        <v>29</v>
      </c>
      <c r="U381" t="s">
        <v>30</v>
      </c>
    </row>
    <row r="382" spans="1:21" x14ac:dyDescent="0.25">
      <c r="A382">
        <v>381</v>
      </c>
      <c r="B382" t="s">
        <v>799</v>
      </c>
      <c r="C382">
        <v>416542</v>
      </c>
      <c r="D382" t="s">
        <v>18</v>
      </c>
      <c r="E382">
        <v>38</v>
      </c>
      <c r="F382" t="str">
        <f t="shared" si="10"/>
        <v>adult</v>
      </c>
      <c r="G382" t="s">
        <v>19</v>
      </c>
      <c r="H382" t="str">
        <f t="shared" si="11"/>
        <v>Dec</v>
      </c>
      <c r="I382" t="s">
        <v>20</v>
      </c>
      <c r="J382" t="s">
        <v>40</v>
      </c>
      <c r="K382" t="s">
        <v>800</v>
      </c>
      <c r="L382" t="s">
        <v>23</v>
      </c>
      <c r="M382" t="s">
        <v>76</v>
      </c>
      <c r="N382">
        <v>1</v>
      </c>
      <c r="O382" t="s">
        <v>25</v>
      </c>
      <c r="P382">
        <v>358</v>
      </c>
      <c r="Q382" t="s">
        <v>63</v>
      </c>
      <c r="R382" t="s">
        <v>64</v>
      </c>
      <c r="S382" t="s">
        <v>65</v>
      </c>
      <c r="T382" t="s">
        <v>29</v>
      </c>
      <c r="U382" t="s">
        <v>30</v>
      </c>
    </row>
    <row r="383" spans="1:21" x14ac:dyDescent="0.25">
      <c r="A383">
        <v>382</v>
      </c>
      <c r="B383" t="s">
        <v>801</v>
      </c>
      <c r="C383">
        <v>600541</v>
      </c>
      <c r="D383" t="s">
        <v>32</v>
      </c>
      <c r="E383">
        <v>57</v>
      </c>
      <c r="F383" t="str">
        <f t="shared" si="10"/>
        <v>senior</v>
      </c>
      <c r="G383" t="s">
        <v>19</v>
      </c>
      <c r="H383" t="str">
        <f t="shared" si="11"/>
        <v>Dec</v>
      </c>
      <c r="I383" t="s">
        <v>20</v>
      </c>
      <c r="J383" t="s">
        <v>45</v>
      </c>
      <c r="K383" t="s">
        <v>802</v>
      </c>
      <c r="L383" t="s">
        <v>42</v>
      </c>
      <c r="M383" t="s">
        <v>35</v>
      </c>
      <c r="N383">
        <v>1</v>
      </c>
      <c r="O383" t="s">
        <v>25</v>
      </c>
      <c r="P383">
        <v>1291</v>
      </c>
      <c r="Q383" t="s">
        <v>26</v>
      </c>
      <c r="R383" t="s">
        <v>27</v>
      </c>
      <c r="S383" t="s">
        <v>28</v>
      </c>
      <c r="T383" t="s">
        <v>29</v>
      </c>
      <c r="U383" t="s">
        <v>43</v>
      </c>
    </row>
    <row r="384" spans="1:21" x14ac:dyDescent="0.25">
      <c r="A384">
        <v>383</v>
      </c>
      <c r="B384" t="s">
        <v>803</v>
      </c>
      <c r="C384">
        <v>885899</v>
      </c>
      <c r="D384" t="s">
        <v>18</v>
      </c>
      <c r="E384">
        <v>52</v>
      </c>
      <c r="F384" t="str">
        <f t="shared" si="10"/>
        <v>senior</v>
      </c>
      <c r="G384" t="s">
        <v>19</v>
      </c>
      <c r="H384" t="str">
        <f t="shared" si="11"/>
        <v>Dec</v>
      </c>
      <c r="I384" t="s">
        <v>20</v>
      </c>
      <c r="J384" t="s">
        <v>21</v>
      </c>
      <c r="K384" t="s">
        <v>804</v>
      </c>
      <c r="L384" t="s">
        <v>58</v>
      </c>
      <c r="M384" t="s">
        <v>35</v>
      </c>
      <c r="N384">
        <v>1</v>
      </c>
      <c r="O384" t="s">
        <v>25</v>
      </c>
      <c r="P384">
        <v>1382</v>
      </c>
      <c r="Q384" t="s">
        <v>53</v>
      </c>
      <c r="R384" t="s">
        <v>54</v>
      </c>
      <c r="S384" t="s">
        <v>55</v>
      </c>
      <c r="T384" t="s">
        <v>29</v>
      </c>
      <c r="U384" t="s">
        <v>30</v>
      </c>
    </row>
    <row r="385" spans="1:21" x14ac:dyDescent="0.25">
      <c r="A385">
        <v>384</v>
      </c>
      <c r="B385" t="s">
        <v>805</v>
      </c>
      <c r="C385">
        <v>186526</v>
      </c>
      <c r="D385" t="s">
        <v>32</v>
      </c>
      <c r="E385">
        <v>26</v>
      </c>
      <c r="F385" t="str">
        <f t="shared" si="10"/>
        <v>teenager</v>
      </c>
      <c r="G385" t="s">
        <v>19</v>
      </c>
      <c r="H385" t="str">
        <f t="shared" si="11"/>
        <v>Dec</v>
      </c>
      <c r="I385" t="s">
        <v>20</v>
      </c>
      <c r="J385" t="s">
        <v>45</v>
      </c>
      <c r="K385" t="s">
        <v>806</v>
      </c>
      <c r="L385" t="s">
        <v>58</v>
      </c>
      <c r="M385" t="s">
        <v>47</v>
      </c>
      <c r="N385">
        <v>1</v>
      </c>
      <c r="O385" t="s">
        <v>25</v>
      </c>
      <c r="P385">
        <v>1000</v>
      </c>
      <c r="Q385" t="s">
        <v>53</v>
      </c>
      <c r="R385" t="s">
        <v>54</v>
      </c>
      <c r="S385" t="s">
        <v>55</v>
      </c>
      <c r="T385" t="s">
        <v>29</v>
      </c>
      <c r="U385" t="s">
        <v>30</v>
      </c>
    </row>
    <row r="386" spans="1:21" x14ac:dyDescent="0.25">
      <c r="A386">
        <v>385</v>
      </c>
      <c r="B386" t="s">
        <v>807</v>
      </c>
      <c r="C386">
        <v>339794</v>
      </c>
      <c r="D386" t="s">
        <v>18</v>
      </c>
      <c r="E386">
        <v>25</v>
      </c>
      <c r="F386" t="str">
        <f t="shared" si="10"/>
        <v>teenager</v>
      </c>
      <c r="G386" t="s">
        <v>19</v>
      </c>
      <c r="H386" t="str">
        <f t="shared" si="11"/>
        <v>Dec</v>
      </c>
      <c r="I386" t="s">
        <v>20</v>
      </c>
      <c r="J386" t="s">
        <v>21</v>
      </c>
      <c r="K386" t="s">
        <v>808</v>
      </c>
      <c r="L386" t="s">
        <v>23</v>
      </c>
      <c r="M386" t="s">
        <v>76</v>
      </c>
      <c r="N386">
        <v>1</v>
      </c>
      <c r="O386" t="s">
        <v>25</v>
      </c>
      <c r="P386">
        <v>1333</v>
      </c>
      <c r="Q386" t="s">
        <v>53</v>
      </c>
      <c r="R386" t="s">
        <v>54</v>
      </c>
      <c r="S386" t="s">
        <v>55</v>
      </c>
      <c r="T386" t="s">
        <v>29</v>
      </c>
      <c r="U386" t="s">
        <v>30</v>
      </c>
    </row>
    <row r="387" spans="1:21" x14ac:dyDescent="0.25">
      <c r="A387">
        <v>386</v>
      </c>
      <c r="B387" t="s">
        <v>809</v>
      </c>
      <c r="C387">
        <v>570773</v>
      </c>
      <c r="D387" t="s">
        <v>32</v>
      </c>
      <c r="E387">
        <v>20</v>
      </c>
      <c r="F387" t="str">
        <f t="shared" ref="F387:F450" si="12">IF(E387&gt;=50,"senior",IF(E387&gt;=30,"adult","teenager"))</f>
        <v>teenager</v>
      </c>
      <c r="G387" t="s">
        <v>19</v>
      </c>
      <c r="H387" t="str">
        <f t="shared" ref="H387:H450" si="13">TEXT(G387,"mmm")</f>
        <v>Dec</v>
      </c>
      <c r="I387" t="s">
        <v>20</v>
      </c>
      <c r="J387" t="s">
        <v>33</v>
      </c>
      <c r="K387" t="s">
        <v>810</v>
      </c>
      <c r="L387" t="s">
        <v>42</v>
      </c>
      <c r="M387" t="s">
        <v>47</v>
      </c>
      <c r="N387">
        <v>1</v>
      </c>
      <c r="O387" t="s">
        <v>25</v>
      </c>
      <c r="P387">
        <v>1918</v>
      </c>
      <c r="Q387" t="s">
        <v>26</v>
      </c>
      <c r="R387" t="s">
        <v>27</v>
      </c>
      <c r="S387" t="s">
        <v>28</v>
      </c>
      <c r="T387" t="s">
        <v>29</v>
      </c>
      <c r="U387" t="s">
        <v>30</v>
      </c>
    </row>
    <row r="388" spans="1:21" x14ac:dyDescent="0.25">
      <c r="A388">
        <v>387</v>
      </c>
      <c r="B388" t="s">
        <v>811</v>
      </c>
      <c r="C388">
        <v>259716</v>
      </c>
      <c r="D388" t="s">
        <v>18</v>
      </c>
      <c r="E388">
        <v>65</v>
      </c>
      <c r="F388" t="str">
        <f t="shared" si="12"/>
        <v>senior</v>
      </c>
      <c r="G388" t="s">
        <v>19</v>
      </c>
      <c r="H388" t="str">
        <f t="shared" si="13"/>
        <v>Dec</v>
      </c>
      <c r="I388" t="s">
        <v>20</v>
      </c>
      <c r="J388" t="s">
        <v>40</v>
      </c>
      <c r="K388" t="s">
        <v>437</v>
      </c>
      <c r="L388" t="s">
        <v>23</v>
      </c>
      <c r="M388" t="s">
        <v>24</v>
      </c>
      <c r="N388">
        <v>1</v>
      </c>
      <c r="O388" t="s">
        <v>25</v>
      </c>
      <c r="P388">
        <v>1220</v>
      </c>
      <c r="Q388" t="s">
        <v>63</v>
      </c>
      <c r="R388" t="s">
        <v>64</v>
      </c>
      <c r="S388" t="s">
        <v>65</v>
      </c>
      <c r="T388" t="s">
        <v>29</v>
      </c>
      <c r="U388" t="s">
        <v>30</v>
      </c>
    </row>
    <row r="389" spans="1:21" x14ac:dyDescent="0.25">
      <c r="A389">
        <v>388</v>
      </c>
      <c r="B389" t="s">
        <v>812</v>
      </c>
      <c r="C389">
        <v>340865</v>
      </c>
      <c r="D389" t="s">
        <v>32</v>
      </c>
      <c r="E389">
        <v>27</v>
      </c>
      <c r="F389" t="str">
        <f t="shared" si="12"/>
        <v>teenager</v>
      </c>
      <c r="G389" t="s">
        <v>19</v>
      </c>
      <c r="H389" t="str">
        <f t="shared" si="13"/>
        <v>Dec</v>
      </c>
      <c r="I389" t="s">
        <v>20</v>
      </c>
      <c r="J389" t="s">
        <v>21</v>
      </c>
      <c r="K389" t="s">
        <v>813</v>
      </c>
      <c r="L389" t="s">
        <v>42</v>
      </c>
      <c r="M389" t="s">
        <v>50</v>
      </c>
      <c r="N389">
        <v>1</v>
      </c>
      <c r="O389" t="s">
        <v>25</v>
      </c>
      <c r="P389">
        <v>702</v>
      </c>
      <c r="Q389" t="s">
        <v>36</v>
      </c>
      <c r="R389" t="s">
        <v>37</v>
      </c>
      <c r="S389" t="s">
        <v>38</v>
      </c>
      <c r="T389" t="s">
        <v>29</v>
      </c>
      <c r="U389" t="s">
        <v>30</v>
      </c>
    </row>
    <row r="390" spans="1:21" x14ac:dyDescent="0.25">
      <c r="A390">
        <v>389</v>
      </c>
      <c r="B390" t="s">
        <v>814</v>
      </c>
      <c r="C390">
        <v>296450</v>
      </c>
      <c r="D390" t="s">
        <v>18</v>
      </c>
      <c r="E390">
        <v>65</v>
      </c>
      <c r="F390" t="str">
        <f t="shared" si="12"/>
        <v>senior</v>
      </c>
      <c r="G390" t="s">
        <v>19</v>
      </c>
      <c r="H390" t="str">
        <f t="shared" si="13"/>
        <v>Dec</v>
      </c>
      <c r="I390" t="s">
        <v>20</v>
      </c>
      <c r="J390" t="s">
        <v>40</v>
      </c>
      <c r="K390" t="s">
        <v>815</v>
      </c>
      <c r="L390" t="s">
        <v>58</v>
      </c>
      <c r="M390" t="s">
        <v>47</v>
      </c>
      <c r="N390">
        <v>1</v>
      </c>
      <c r="O390" t="s">
        <v>25</v>
      </c>
      <c r="P390">
        <v>1930</v>
      </c>
      <c r="Q390" t="s">
        <v>36</v>
      </c>
      <c r="R390" t="s">
        <v>37</v>
      </c>
      <c r="S390" t="s">
        <v>38</v>
      </c>
      <c r="T390" t="s">
        <v>29</v>
      </c>
      <c r="U390" t="s">
        <v>30</v>
      </c>
    </row>
    <row r="391" spans="1:21" x14ac:dyDescent="0.25">
      <c r="A391">
        <v>390</v>
      </c>
      <c r="B391" t="s">
        <v>816</v>
      </c>
      <c r="C391">
        <v>348574</v>
      </c>
      <c r="D391" t="s">
        <v>32</v>
      </c>
      <c r="E391">
        <v>68</v>
      </c>
      <c r="F391" t="str">
        <f t="shared" si="12"/>
        <v>senior</v>
      </c>
      <c r="G391" t="s">
        <v>19</v>
      </c>
      <c r="H391" t="str">
        <f t="shared" si="13"/>
        <v>Dec</v>
      </c>
      <c r="I391" t="s">
        <v>20</v>
      </c>
      <c r="J391" t="s">
        <v>45</v>
      </c>
      <c r="K391" t="s">
        <v>817</v>
      </c>
      <c r="L391" t="s">
        <v>58</v>
      </c>
      <c r="M391" t="s">
        <v>50</v>
      </c>
      <c r="N391">
        <v>1</v>
      </c>
      <c r="O391" t="s">
        <v>25</v>
      </c>
      <c r="P391">
        <v>699</v>
      </c>
      <c r="Q391" t="s">
        <v>26</v>
      </c>
      <c r="R391" t="s">
        <v>27</v>
      </c>
      <c r="S391" t="s">
        <v>28</v>
      </c>
      <c r="T391" t="s">
        <v>29</v>
      </c>
      <c r="U391" t="s">
        <v>43</v>
      </c>
    </row>
    <row r="392" spans="1:21" x14ac:dyDescent="0.25">
      <c r="A392">
        <v>391</v>
      </c>
      <c r="B392" t="s">
        <v>818</v>
      </c>
      <c r="C392">
        <v>402922</v>
      </c>
      <c r="D392" t="s">
        <v>18</v>
      </c>
      <c r="E392">
        <v>20</v>
      </c>
      <c r="F392" t="str">
        <f t="shared" si="12"/>
        <v>teenager</v>
      </c>
      <c r="G392" t="s">
        <v>19</v>
      </c>
      <c r="H392" t="str">
        <f t="shared" si="13"/>
        <v>Dec</v>
      </c>
      <c r="I392" t="s">
        <v>20</v>
      </c>
      <c r="J392" t="s">
        <v>21</v>
      </c>
      <c r="K392" t="s">
        <v>819</v>
      </c>
      <c r="L392" t="s">
        <v>42</v>
      </c>
      <c r="M392" t="s">
        <v>35</v>
      </c>
      <c r="N392">
        <v>1</v>
      </c>
      <c r="O392" t="s">
        <v>25</v>
      </c>
      <c r="P392">
        <v>1141</v>
      </c>
      <c r="Q392" t="s">
        <v>36</v>
      </c>
      <c r="R392" t="s">
        <v>37</v>
      </c>
      <c r="S392" t="s">
        <v>38</v>
      </c>
      <c r="T392" t="s">
        <v>29</v>
      </c>
      <c r="U392" t="s">
        <v>43</v>
      </c>
    </row>
    <row r="393" spans="1:21" x14ac:dyDescent="0.25">
      <c r="A393">
        <v>392</v>
      </c>
      <c r="B393" t="s">
        <v>820</v>
      </c>
      <c r="C393">
        <v>626244</v>
      </c>
      <c r="D393" t="s">
        <v>32</v>
      </c>
      <c r="E393">
        <v>69</v>
      </c>
      <c r="F393" t="str">
        <f t="shared" si="12"/>
        <v>senior</v>
      </c>
      <c r="G393" t="s">
        <v>19</v>
      </c>
      <c r="H393" t="str">
        <f t="shared" si="13"/>
        <v>Dec</v>
      </c>
      <c r="I393" t="s">
        <v>20</v>
      </c>
      <c r="J393" t="s">
        <v>40</v>
      </c>
      <c r="K393" t="s">
        <v>821</v>
      </c>
      <c r="L393" t="s">
        <v>58</v>
      </c>
      <c r="M393" t="s">
        <v>50</v>
      </c>
      <c r="N393">
        <v>1</v>
      </c>
      <c r="O393" t="s">
        <v>25</v>
      </c>
      <c r="P393">
        <v>863</v>
      </c>
      <c r="Q393" t="s">
        <v>36</v>
      </c>
      <c r="R393" t="s">
        <v>37</v>
      </c>
      <c r="S393" t="s">
        <v>38</v>
      </c>
      <c r="T393" t="s">
        <v>29</v>
      </c>
      <c r="U393" t="s">
        <v>30</v>
      </c>
    </row>
    <row r="394" spans="1:21" x14ac:dyDescent="0.25">
      <c r="A394">
        <v>393</v>
      </c>
      <c r="B394" t="s">
        <v>822</v>
      </c>
      <c r="C394">
        <v>264941</v>
      </c>
      <c r="D394" t="s">
        <v>18</v>
      </c>
      <c r="E394">
        <v>61</v>
      </c>
      <c r="F394" t="str">
        <f t="shared" si="12"/>
        <v>senior</v>
      </c>
      <c r="G394" t="s">
        <v>19</v>
      </c>
      <c r="H394" t="str">
        <f t="shared" si="13"/>
        <v>Dec</v>
      </c>
      <c r="I394" t="s">
        <v>20</v>
      </c>
      <c r="J394" t="s">
        <v>21</v>
      </c>
      <c r="K394" t="s">
        <v>564</v>
      </c>
      <c r="L394" t="s">
        <v>23</v>
      </c>
      <c r="M394" t="s">
        <v>35</v>
      </c>
      <c r="N394">
        <v>1</v>
      </c>
      <c r="O394" t="s">
        <v>25</v>
      </c>
      <c r="P394">
        <v>1686</v>
      </c>
      <c r="Q394" t="s">
        <v>26</v>
      </c>
      <c r="R394" t="s">
        <v>27</v>
      </c>
      <c r="S394" t="s">
        <v>28</v>
      </c>
      <c r="T394" t="s">
        <v>29</v>
      </c>
      <c r="U394" t="s">
        <v>43</v>
      </c>
    </row>
    <row r="395" spans="1:21" x14ac:dyDescent="0.25">
      <c r="A395">
        <v>394</v>
      </c>
      <c r="B395" t="s">
        <v>823</v>
      </c>
      <c r="C395">
        <v>604906</v>
      </c>
      <c r="D395" t="s">
        <v>32</v>
      </c>
      <c r="E395">
        <v>45</v>
      </c>
      <c r="F395" t="str">
        <f t="shared" si="12"/>
        <v>adult</v>
      </c>
      <c r="G395" t="s">
        <v>19</v>
      </c>
      <c r="H395" t="str">
        <f t="shared" si="13"/>
        <v>Dec</v>
      </c>
      <c r="I395" t="s">
        <v>20</v>
      </c>
      <c r="J395" t="s">
        <v>21</v>
      </c>
      <c r="K395" t="s">
        <v>824</v>
      </c>
      <c r="L395" t="s">
        <v>58</v>
      </c>
      <c r="M395" t="s">
        <v>50</v>
      </c>
      <c r="N395">
        <v>1</v>
      </c>
      <c r="O395" t="s">
        <v>25</v>
      </c>
      <c r="P395">
        <v>1620</v>
      </c>
      <c r="Q395" t="s">
        <v>26</v>
      </c>
      <c r="R395" t="s">
        <v>27</v>
      </c>
      <c r="S395" t="s">
        <v>28</v>
      </c>
      <c r="T395" t="s">
        <v>29</v>
      </c>
      <c r="U395" t="s">
        <v>43</v>
      </c>
    </row>
    <row r="396" spans="1:21" x14ac:dyDescent="0.25">
      <c r="A396">
        <v>395</v>
      </c>
      <c r="B396" t="s">
        <v>825</v>
      </c>
      <c r="C396">
        <v>346364</v>
      </c>
      <c r="D396" t="s">
        <v>18</v>
      </c>
      <c r="E396">
        <v>32</v>
      </c>
      <c r="F396" t="str">
        <f t="shared" si="12"/>
        <v>adult</v>
      </c>
      <c r="G396" t="s">
        <v>19</v>
      </c>
      <c r="H396" t="str">
        <f t="shared" si="13"/>
        <v>Dec</v>
      </c>
      <c r="I396" t="s">
        <v>20</v>
      </c>
      <c r="J396" t="s">
        <v>33</v>
      </c>
      <c r="K396" t="s">
        <v>826</v>
      </c>
      <c r="L396" t="s">
        <v>23</v>
      </c>
      <c r="M396" t="s">
        <v>35</v>
      </c>
      <c r="N396">
        <v>1</v>
      </c>
      <c r="O396" t="s">
        <v>25</v>
      </c>
      <c r="P396">
        <v>1783</v>
      </c>
      <c r="Q396" t="s">
        <v>36</v>
      </c>
      <c r="R396" t="s">
        <v>37</v>
      </c>
      <c r="S396" t="s">
        <v>38</v>
      </c>
      <c r="T396" t="s">
        <v>29</v>
      </c>
      <c r="U396" t="s">
        <v>30</v>
      </c>
    </row>
    <row r="397" spans="1:21" x14ac:dyDescent="0.25">
      <c r="A397">
        <v>396</v>
      </c>
      <c r="B397" t="s">
        <v>827</v>
      </c>
      <c r="C397">
        <v>886982</v>
      </c>
      <c r="D397" t="s">
        <v>32</v>
      </c>
      <c r="E397">
        <v>50</v>
      </c>
      <c r="F397" t="str">
        <f t="shared" si="12"/>
        <v>senior</v>
      </c>
      <c r="G397" t="s">
        <v>19</v>
      </c>
      <c r="H397" t="str">
        <f t="shared" si="13"/>
        <v>Dec</v>
      </c>
      <c r="I397" t="s">
        <v>20</v>
      </c>
      <c r="J397" t="s">
        <v>40</v>
      </c>
      <c r="K397" t="s">
        <v>828</v>
      </c>
      <c r="L397" t="s">
        <v>23</v>
      </c>
      <c r="M397" t="s">
        <v>50</v>
      </c>
      <c r="N397">
        <v>1</v>
      </c>
      <c r="O397" t="s">
        <v>25</v>
      </c>
      <c r="P397">
        <v>1986</v>
      </c>
      <c r="Q397" t="s">
        <v>53</v>
      </c>
      <c r="R397" t="s">
        <v>54</v>
      </c>
      <c r="S397" t="s">
        <v>55</v>
      </c>
      <c r="T397" t="s">
        <v>29</v>
      </c>
      <c r="U397" t="s">
        <v>30</v>
      </c>
    </row>
    <row r="398" spans="1:21" x14ac:dyDescent="0.25">
      <c r="A398">
        <v>397</v>
      </c>
      <c r="B398" t="s">
        <v>829</v>
      </c>
      <c r="C398">
        <v>930474</v>
      </c>
      <c r="D398" t="s">
        <v>18</v>
      </c>
      <c r="E398">
        <v>29</v>
      </c>
      <c r="F398" t="str">
        <f t="shared" si="12"/>
        <v>teenager</v>
      </c>
      <c r="G398" t="s">
        <v>19</v>
      </c>
      <c r="H398" t="str">
        <f t="shared" si="13"/>
        <v>Dec</v>
      </c>
      <c r="I398" t="s">
        <v>20</v>
      </c>
      <c r="J398" t="s">
        <v>45</v>
      </c>
      <c r="K398" t="s">
        <v>830</v>
      </c>
      <c r="L398" t="s">
        <v>58</v>
      </c>
      <c r="M398" t="s">
        <v>76</v>
      </c>
      <c r="N398">
        <v>1</v>
      </c>
      <c r="O398" t="s">
        <v>25</v>
      </c>
      <c r="P398">
        <v>1487</v>
      </c>
      <c r="Q398" t="s">
        <v>53</v>
      </c>
      <c r="R398" t="s">
        <v>54</v>
      </c>
      <c r="S398" t="s">
        <v>55</v>
      </c>
      <c r="T398" t="s">
        <v>29</v>
      </c>
      <c r="U398" t="s">
        <v>30</v>
      </c>
    </row>
    <row r="399" spans="1:21" x14ac:dyDescent="0.25">
      <c r="A399">
        <v>398</v>
      </c>
      <c r="B399" t="s">
        <v>831</v>
      </c>
      <c r="C399">
        <v>811463</v>
      </c>
      <c r="D399" t="s">
        <v>32</v>
      </c>
      <c r="E399">
        <v>70</v>
      </c>
      <c r="F399" t="str">
        <f t="shared" si="12"/>
        <v>senior</v>
      </c>
      <c r="G399" t="s">
        <v>19</v>
      </c>
      <c r="H399" t="str">
        <f t="shared" si="13"/>
        <v>Dec</v>
      </c>
      <c r="I399" t="s">
        <v>20</v>
      </c>
      <c r="J399" t="s">
        <v>21</v>
      </c>
      <c r="K399" t="s">
        <v>431</v>
      </c>
      <c r="L399" t="s">
        <v>42</v>
      </c>
      <c r="M399" t="s">
        <v>76</v>
      </c>
      <c r="N399">
        <v>1</v>
      </c>
      <c r="O399" t="s">
        <v>25</v>
      </c>
      <c r="P399">
        <v>893</v>
      </c>
      <c r="Q399" t="s">
        <v>63</v>
      </c>
      <c r="R399" t="s">
        <v>64</v>
      </c>
      <c r="S399" t="s">
        <v>65</v>
      </c>
      <c r="T399" t="s">
        <v>29</v>
      </c>
      <c r="U399" t="s">
        <v>30</v>
      </c>
    </row>
    <row r="400" spans="1:21" x14ac:dyDescent="0.25">
      <c r="A400">
        <v>399</v>
      </c>
      <c r="B400" t="s">
        <v>832</v>
      </c>
      <c r="C400">
        <v>336178</v>
      </c>
      <c r="D400" t="s">
        <v>18</v>
      </c>
      <c r="E400">
        <v>35</v>
      </c>
      <c r="F400" t="str">
        <f t="shared" si="12"/>
        <v>adult</v>
      </c>
      <c r="G400" t="s">
        <v>19</v>
      </c>
      <c r="H400" t="str">
        <f t="shared" si="13"/>
        <v>Dec</v>
      </c>
      <c r="I400" t="s">
        <v>20</v>
      </c>
      <c r="J400" t="s">
        <v>45</v>
      </c>
      <c r="K400" t="s">
        <v>833</v>
      </c>
      <c r="L400" t="s">
        <v>58</v>
      </c>
      <c r="M400" t="s">
        <v>76</v>
      </c>
      <c r="N400">
        <v>1</v>
      </c>
      <c r="O400" t="s">
        <v>25</v>
      </c>
      <c r="P400">
        <v>1268</v>
      </c>
      <c r="Q400" t="s">
        <v>53</v>
      </c>
      <c r="R400" t="s">
        <v>54</v>
      </c>
      <c r="S400" t="s">
        <v>55</v>
      </c>
      <c r="T400" t="s">
        <v>29</v>
      </c>
      <c r="U400" t="s">
        <v>30</v>
      </c>
    </row>
    <row r="401" spans="1:21" x14ac:dyDescent="0.25">
      <c r="A401">
        <v>400</v>
      </c>
      <c r="B401" t="s">
        <v>834</v>
      </c>
      <c r="C401">
        <v>536742</v>
      </c>
      <c r="D401" t="s">
        <v>32</v>
      </c>
      <c r="E401">
        <v>70</v>
      </c>
      <c r="F401" t="str">
        <f t="shared" si="12"/>
        <v>senior</v>
      </c>
      <c r="G401" t="s">
        <v>19</v>
      </c>
      <c r="H401" t="str">
        <f t="shared" si="13"/>
        <v>Dec</v>
      </c>
      <c r="I401" t="s">
        <v>20</v>
      </c>
      <c r="J401" t="s">
        <v>21</v>
      </c>
      <c r="K401" t="s">
        <v>835</v>
      </c>
      <c r="L401" t="s">
        <v>23</v>
      </c>
      <c r="M401" t="s">
        <v>76</v>
      </c>
      <c r="N401">
        <v>1</v>
      </c>
      <c r="O401" t="s">
        <v>25</v>
      </c>
      <c r="P401">
        <v>701</v>
      </c>
      <c r="Q401" t="s">
        <v>36</v>
      </c>
      <c r="R401" t="s">
        <v>37</v>
      </c>
      <c r="S401" t="s">
        <v>38</v>
      </c>
      <c r="T401" t="s">
        <v>29</v>
      </c>
      <c r="U401" t="s">
        <v>30</v>
      </c>
    </row>
    <row r="402" spans="1:21" x14ac:dyDescent="0.25">
      <c r="A402">
        <v>401</v>
      </c>
      <c r="B402" t="s">
        <v>836</v>
      </c>
      <c r="C402">
        <v>279477</v>
      </c>
      <c r="D402" t="s">
        <v>18</v>
      </c>
      <c r="E402">
        <v>53</v>
      </c>
      <c r="F402" t="str">
        <f t="shared" si="12"/>
        <v>senior</v>
      </c>
      <c r="G402" t="s">
        <v>19</v>
      </c>
      <c r="H402" t="str">
        <f t="shared" si="13"/>
        <v>Dec</v>
      </c>
      <c r="I402" t="s">
        <v>20</v>
      </c>
      <c r="J402" t="s">
        <v>21</v>
      </c>
      <c r="K402" t="s">
        <v>837</v>
      </c>
      <c r="L402" t="s">
        <v>42</v>
      </c>
      <c r="M402" t="s">
        <v>47</v>
      </c>
      <c r="N402">
        <v>1</v>
      </c>
      <c r="O402" t="s">
        <v>25</v>
      </c>
      <c r="P402">
        <v>1849</v>
      </c>
      <c r="Q402" t="s">
        <v>53</v>
      </c>
      <c r="R402" t="s">
        <v>54</v>
      </c>
      <c r="S402" t="s">
        <v>55</v>
      </c>
      <c r="T402" t="s">
        <v>29</v>
      </c>
      <c r="U402" t="s">
        <v>30</v>
      </c>
    </row>
    <row r="403" spans="1:21" x14ac:dyDescent="0.25">
      <c r="A403">
        <v>402</v>
      </c>
      <c r="B403" t="s">
        <v>838</v>
      </c>
      <c r="C403">
        <v>451338</v>
      </c>
      <c r="D403" t="s">
        <v>32</v>
      </c>
      <c r="E403">
        <v>43</v>
      </c>
      <c r="F403" t="str">
        <f t="shared" si="12"/>
        <v>adult</v>
      </c>
      <c r="G403" t="s">
        <v>19</v>
      </c>
      <c r="H403" t="str">
        <f t="shared" si="13"/>
        <v>Dec</v>
      </c>
      <c r="I403" t="s">
        <v>20</v>
      </c>
      <c r="J403" t="s">
        <v>33</v>
      </c>
      <c r="K403" t="s">
        <v>839</v>
      </c>
      <c r="L403" t="s">
        <v>23</v>
      </c>
      <c r="M403" t="s">
        <v>76</v>
      </c>
      <c r="N403">
        <v>1</v>
      </c>
      <c r="O403" t="s">
        <v>25</v>
      </c>
      <c r="P403">
        <v>689</v>
      </c>
      <c r="Q403" t="s">
        <v>63</v>
      </c>
      <c r="R403" t="s">
        <v>64</v>
      </c>
      <c r="S403" t="s">
        <v>65</v>
      </c>
      <c r="T403" t="s">
        <v>29</v>
      </c>
      <c r="U403" t="s">
        <v>43</v>
      </c>
    </row>
    <row r="404" spans="1:21" x14ac:dyDescent="0.25">
      <c r="A404">
        <v>403</v>
      </c>
      <c r="B404" t="s">
        <v>840</v>
      </c>
      <c r="C404">
        <v>660553</v>
      </c>
      <c r="D404" t="s">
        <v>18</v>
      </c>
      <c r="E404">
        <v>24</v>
      </c>
      <c r="F404" t="str">
        <f t="shared" si="12"/>
        <v>teenager</v>
      </c>
      <c r="G404" t="s">
        <v>19</v>
      </c>
      <c r="H404" t="str">
        <f t="shared" si="13"/>
        <v>Dec</v>
      </c>
      <c r="I404" t="s">
        <v>20</v>
      </c>
      <c r="J404" t="s">
        <v>21</v>
      </c>
      <c r="K404" t="s">
        <v>841</v>
      </c>
      <c r="L404" t="s">
        <v>42</v>
      </c>
      <c r="M404" t="s">
        <v>24</v>
      </c>
      <c r="N404">
        <v>1</v>
      </c>
      <c r="O404" t="s">
        <v>25</v>
      </c>
      <c r="P404">
        <v>1988</v>
      </c>
      <c r="Q404" t="s">
        <v>36</v>
      </c>
      <c r="R404" t="s">
        <v>37</v>
      </c>
      <c r="S404" t="s">
        <v>38</v>
      </c>
      <c r="T404" t="s">
        <v>29</v>
      </c>
      <c r="U404" t="s">
        <v>43</v>
      </c>
    </row>
    <row r="405" spans="1:21" x14ac:dyDescent="0.25">
      <c r="A405">
        <v>404</v>
      </c>
      <c r="B405" t="s">
        <v>842</v>
      </c>
      <c r="C405">
        <v>753462</v>
      </c>
      <c r="D405" t="s">
        <v>32</v>
      </c>
      <c r="E405">
        <v>26</v>
      </c>
      <c r="F405" t="str">
        <f t="shared" si="12"/>
        <v>teenager</v>
      </c>
      <c r="G405" t="s">
        <v>19</v>
      </c>
      <c r="H405" t="str">
        <f t="shared" si="13"/>
        <v>Dec</v>
      </c>
      <c r="I405" t="s">
        <v>20</v>
      </c>
      <c r="J405" t="s">
        <v>45</v>
      </c>
      <c r="K405" t="s">
        <v>843</v>
      </c>
      <c r="L405" t="s">
        <v>58</v>
      </c>
      <c r="M405" t="s">
        <v>76</v>
      </c>
      <c r="N405">
        <v>1</v>
      </c>
      <c r="O405" t="s">
        <v>25</v>
      </c>
      <c r="P405">
        <v>636</v>
      </c>
      <c r="Q405" t="s">
        <v>26</v>
      </c>
      <c r="R405" t="s">
        <v>27</v>
      </c>
      <c r="S405" t="s">
        <v>28</v>
      </c>
      <c r="T405" t="s">
        <v>29</v>
      </c>
      <c r="U405" t="s">
        <v>30</v>
      </c>
    </row>
    <row r="406" spans="1:21" x14ac:dyDescent="0.25">
      <c r="A406">
        <v>405</v>
      </c>
      <c r="B406" t="s">
        <v>844</v>
      </c>
      <c r="C406">
        <v>630833</v>
      </c>
      <c r="D406" t="s">
        <v>18</v>
      </c>
      <c r="E406">
        <v>54</v>
      </c>
      <c r="F406" t="str">
        <f t="shared" si="12"/>
        <v>senior</v>
      </c>
      <c r="G406" t="s">
        <v>19</v>
      </c>
      <c r="H406" t="str">
        <f t="shared" si="13"/>
        <v>Dec</v>
      </c>
      <c r="I406" t="s">
        <v>20</v>
      </c>
      <c r="J406" t="s">
        <v>33</v>
      </c>
      <c r="K406" t="s">
        <v>845</v>
      </c>
      <c r="L406" t="s">
        <v>23</v>
      </c>
      <c r="M406" t="s">
        <v>76</v>
      </c>
      <c r="N406">
        <v>1</v>
      </c>
      <c r="O406" t="s">
        <v>25</v>
      </c>
      <c r="P406">
        <v>1856</v>
      </c>
      <c r="Q406" t="s">
        <v>63</v>
      </c>
      <c r="R406" t="s">
        <v>64</v>
      </c>
      <c r="S406" t="s">
        <v>65</v>
      </c>
      <c r="T406" t="s">
        <v>29</v>
      </c>
      <c r="U406" t="s">
        <v>30</v>
      </c>
    </row>
    <row r="407" spans="1:21" x14ac:dyDescent="0.25">
      <c r="A407">
        <v>406</v>
      </c>
      <c r="B407" t="s">
        <v>846</v>
      </c>
      <c r="C407">
        <v>745479</v>
      </c>
      <c r="D407" t="s">
        <v>32</v>
      </c>
      <c r="E407">
        <v>66</v>
      </c>
      <c r="F407" t="str">
        <f t="shared" si="12"/>
        <v>senior</v>
      </c>
      <c r="G407" t="s">
        <v>19</v>
      </c>
      <c r="H407" t="str">
        <f t="shared" si="13"/>
        <v>Dec</v>
      </c>
      <c r="I407" t="s">
        <v>20</v>
      </c>
      <c r="J407" t="s">
        <v>33</v>
      </c>
      <c r="K407" t="s">
        <v>847</v>
      </c>
      <c r="L407" t="s">
        <v>42</v>
      </c>
      <c r="M407" t="s">
        <v>24</v>
      </c>
      <c r="N407">
        <v>1</v>
      </c>
      <c r="O407" t="s">
        <v>25</v>
      </c>
      <c r="P407">
        <v>1102</v>
      </c>
      <c r="Q407" t="s">
        <v>63</v>
      </c>
      <c r="R407" t="s">
        <v>64</v>
      </c>
      <c r="S407" t="s">
        <v>65</v>
      </c>
      <c r="T407" t="s">
        <v>29</v>
      </c>
      <c r="U407" t="s">
        <v>30</v>
      </c>
    </row>
    <row r="408" spans="1:21" x14ac:dyDescent="0.25">
      <c r="A408">
        <v>407</v>
      </c>
      <c r="B408" t="s">
        <v>848</v>
      </c>
      <c r="C408">
        <v>175847</v>
      </c>
      <c r="D408" t="s">
        <v>18</v>
      </c>
      <c r="E408">
        <v>24</v>
      </c>
      <c r="F408" t="str">
        <f t="shared" si="12"/>
        <v>teenager</v>
      </c>
      <c r="G408" t="s">
        <v>19</v>
      </c>
      <c r="H408" t="str">
        <f t="shared" si="13"/>
        <v>Dec</v>
      </c>
      <c r="I408" t="s">
        <v>20</v>
      </c>
      <c r="J408" t="s">
        <v>33</v>
      </c>
      <c r="K408" t="s">
        <v>849</v>
      </c>
      <c r="L408" t="s">
        <v>23</v>
      </c>
      <c r="M408" t="s">
        <v>24</v>
      </c>
      <c r="N408">
        <v>1</v>
      </c>
      <c r="O408" t="s">
        <v>25</v>
      </c>
      <c r="P408">
        <v>1780</v>
      </c>
      <c r="Q408" t="s">
        <v>63</v>
      </c>
      <c r="R408" t="s">
        <v>64</v>
      </c>
      <c r="S408" t="s">
        <v>65</v>
      </c>
      <c r="T408" t="s">
        <v>29</v>
      </c>
      <c r="U408" t="s">
        <v>43</v>
      </c>
    </row>
    <row r="409" spans="1:21" x14ac:dyDescent="0.25">
      <c r="A409">
        <v>408</v>
      </c>
      <c r="B409" t="s">
        <v>850</v>
      </c>
      <c r="C409">
        <v>772976</v>
      </c>
      <c r="D409" t="s">
        <v>32</v>
      </c>
      <c r="E409">
        <v>67</v>
      </c>
      <c r="F409" t="str">
        <f t="shared" si="12"/>
        <v>senior</v>
      </c>
      <c r="G409" t="s">
        <v>19</v>
      </c>
      <c r="H409" t="str">
        <f t="shared" si="13"/>
        <v>Dec</v>
      </c>
      <c r="I409" t="s">
        <v>20</v>
      </c>
      <c r="J409" t="s">
        <v>33</v>
      </c>
      <c r="K409" t="s">
        <v>851</v>
      </c>
      <c r="L409" t="s">
        <v>23</v>
      </c>
      <c r="M409" t="s">
        <v>50</v>
      </c>
      <c r="N409">
        <v>1</v>
      </c>
      <c r="O409" t="s">
        <v>25</v>
      </c>
      <c r="P409">
        <v>823</v>
      </c>
      <c r="Q409" t="s">
        <v>53</v>
      </c>
      <c r="R409" t="s">
        <v>54</v>
      </c>
      <c r="S409" t="s">
        <v>55</v>
      </c>
      <c r="T409" t="s">
        <v>29</v>
      </c>
      <c r="U409" t="s">
        <v>43</v>
      </c>
    </row>
    <row r="410" spans="1:21" x14ac:dyDescent="0.25">
      <c r="A410">
        <v>409</v>
      </c>
      <c r="B410" t="s">
        <v>852</v>
      </c>
      <c r="C410">
        <v>845884</v>
      </c>
      <c r="D410" t="s">
        <v>18</v>
      </c>
      <c r="E410">
        <v>35</v>
      </c>
      <c r="F410" t="str">
        <f t="shared" si="12"/>
        <v>adult</v>
      </c>
      <c r="G410" t="s">
        <v>19</v>
      </c>
      <c r="H410" t="str">
        <f t="shared" si="13"/>
        <v>Dec</v>
      </c>
      <c r="I410" t="s">
        <v>20</v>
      </c>
      <c r="J410" t="s">
        <v>33</v>
      </c>
      <c r="K410" t="s">
        <v>853</v>
      </c>
      <c r="L410" t="s">
        <v>42</v>
      </c>
      <c r="M410" t="s">
        <v>35</v>
      </c>
      <c r="N410">
        <v>1</v>
      </c>
      <c r="O410" t="s">
        <v>25</v>
      </c>
      <c r="P410">
        <v>1718</v>
      </c>
      <c r="Q410" t="s">
        <v>36</v>
      </c>
      <c r="R410" t="s">
        <v>37</v>
      </c>
      <c r="S410" t="s">
        <v>38</v>
      </c>
      <c r="T410" t="s">
        <v>29</v>
      </c>
      <c r="U410" t="s">
        <v>43</v>
      </c>
    </row>
    <row r="411" spans="1:21" x14ac:dyDescent="0.25">
      <c r="A411">
        <v>410</v>
      </c>
      <c r="B411" t="s">
        <v>854</v>
      </c>
      <c r="C411">
        <v>489426</v>
      </c>
      <c r="D411" t="s">
        <v>32</v>
      </c>
      <c r="E411">
        <v>67</v>
      </c>
      <c r="F411" t="str">
        <f t="shared" si="12"/>
        <v>senior</v>
      </c>
      <c r="G411" t="s">
        <v>19</v>
      </c>
      <c r="H411" t="str">
        <f t="shared" si="13"/>
        <v>Dec</v>
      </c>
      <c r="I411" t="s">
        <v>20</v>
      </c>
      <c r="J411" t="s">
        <v>40</v>
      </c>
      <c r="K411" t="s">
        <v>855</v>
      </c>
      <c r="L411" t="s">
        <v>58</v>
      </c>
      <c r="M411" t="s">
        <v>35</v>
      </c>
      <c r="N411">
        <v>1</v>
      </c>
      <c r="O411" t="s">
        <v>25</v>
      </c>
      <c r="P411">
        <v>1700</v>
      </c>
      <c r="Q411" t="s">
        <v>63</v>
      </c>
      <c r="R411" t="s">
        <v>64</v>
      </c>
      <c r="S411" t="s">
        <v>65</v>
      </c>
      <c r="T411" t="s">
        <v>29</v>
      </c>
      <c r="U411" t="s">
        <v>30</v>
      </c>
    </row>
    <row r="412" spans="1:21" x14ac:dyDescent="0.25">
      <c r="A412">
        <v>411</v>
      </c>
      <c r="B412" t="s">
        <v>856</v>
      </c>
      <c r="C412">
        <v>398426</v>
      </c>
      <c r="D412" t="s">
        <v>18</v>
      </c>
      <c r="E412">
        <v>64</v>
      </c>
      <c r="F412" t="str">
        <f t="shared" si="12"/>
        <v>senior</v>
      </c>
      <c r="G412" t="s">
        <v>19</v>
      </c>
      <c r="H412" t="str">
        <f t="shared" si="13"/>
        <v>Dec</v>
      </c>
      <c r="I412" t="s">
        <v>20</v>
      </c>
      <c r="J412" t="s">
        <v>40</v>
      </c>
      <c r="K412" t="s">
        <v>857</v>
      </c>
      <c r="L412" t="s">
        <v>58</v>
      </c>
      <c r="M412" t="s">
        <v>76</v>
      </c>
      <c r="N412">
        <v>1</v>
      </c>
      <c r="O412" t="s">
        <v>25</v>
      </c>
      <c r="P412">
        <v>637</v>
      </c>
      <c r="Q412" t="s">
        <v>53</v>
      </c>
      <c r="R412" t="s">
        <v>54</v>
      </c>
      <c r="S412" t="s">
        <v>55</v>
      </c>
      <c r="T412" t="s">
        <v>29</v>
      </c>
      <c r="U412" t="s">
        <v>43</v>
      </c>
    </row>
    <row r="413" spans="1:21" x14ac:dyDescent="0.25">
      <c r="A413">
        <v>412</v>
      </c>
      <c r="B413" t="s">
        <v>858</v>
      </c>
      <c r="C413">
        <v>528309</v>
      </c>
      <c r="D413" t="s">
        <v>32</v>
      </c>
      <c r="E413">
        <v>57</v>
      </c>
      <c r="F413" t="str">
        <f t="shared" si="12"/>
        <v>senior</v>
      </c>
      <c r="G413" t="s">
        <v>19</v>
      </c>
      <c r="H413" t="str">
        <f t="shared" si="13"/>
        <v>Dec</v>
      </c>
      <c r="I413" t="s">
        <v>20</v>
      </c>
      <c r="J413" t="s">
        <v>33</v>
      </c>
      <c r="K413" t="s">
        <v>859</v>
      </c>
      <c r="L413" t="s">
        <v>42</v>
      </c>
      <c r="M413" t="s">
        <v>35</v>
      </c>
      <c r="N413">
        <v>1</v>
      </c>
      <c r="O413" t="s">
        <v>25</v>
      </c>
      <c r="P413">
        <v>1597</v>
      </c>
      <c r="Q413" t="s">
        <v>26</v>
      </c>
      <c r="R413" t="s">
        <v>27</v>
      </c>
      <c r="S413" t="s">
        <v>28</v>
      </c>
      <c r="T413" t="s">
        <v>29</v>
      </c>
      <c r="U413" t="s">
        <v>30</v>
      </c>
    </row>
    <row r="414" spans="1:21" x14ac:dyDescent="0.25">
      <c r="A414">
        <v>413</v>
      </c>
      <c r="B414" t="s">
        <v>860</v>
      </c>
      <c r="C414">
        <v>893551</v>
      </c>
      <c r="D414" t="s">
        <v>18</v>
      </c>
      <c r="E414">
        <v>59</v>
      </c>
      <c r="F414" t="str">
        <f t="shared" si="12"/>
        <v>senior</v>
      </c>
      <c r="G414" t="s">
        <v>19</v>
      </c>
      <c r="H414" t="str">
        <f t="shared" si="13"/>
        <v>Dec</v>
      </c>
      <c r="I414" t="s">
        <v>20</v>
      </c>
      <c r="J414" t="s">
        <v>21</v>
      </c>
      <c r="K414" t="s">
        <v>861</v>
      </c>
      <c r="L414" t="s">
        <v>42</v>
      </c>
      <c r="M414" t="s">
        <v>76</v>
      </c>
      <c r="N414">
        <v>1</v>
      </c>
      <c r="O414" t="s">
        <v>25</v>
      </c>
      <c r="P414">
        <v>454</v>
      </c>
      <c r="Q414" t="s">
        <v>63</v>
      </c>
      <c r="R414" t="s">
        <v>64</v>
      </c>
      <c r="S414" t="s">
        <v>65</v>
      </c>
      <c r="T414" t="s">
        <v>29</v>
      </c>
      <c r="U414" t="s">
        <v>43</v>
      </c>
    </row>
    <row r="415" spans="1:21" x14ac:dyDescent="0.25">
      <c r="A415">
        <v>414</v>
      </c>
      <c r="B415" t="s">
        <v>862</v>
      </c>
      <c r="C415">
        <v>678081</v>
      </c>
      <c r="D415" t="s">
        <v>32</v>
      </c>
      <c r="E415">
        <v>48</v>
      </c>
      <c r="F415" t="str">
        <f t="shared" si="12"/>
        <v>adult</v>
      </c>
      <c r="G415" t="s">
        <v>19</v>
      </c>
      <c r="H415" t="str">
        <f t="shared" si="13"/>
        <v>Dec</v>
      </c>
      <c r="I415" t="s">
        <v>20</v>
      </c>
      <c r="J415" t="s">
        <v>33</v>
      </c>
      <c r="K415" t="s">
        <v>863</v>
      </c>
      <c r="L415" t="s">
        <v>42</v>
      </c>
      <c r="M415" t="s">
        <v>50</v>
      </c>
      <c r="N415">
        <v>1</v>
      </c>
      <c r="O415" t="s">
        <v>25</v>
      </c>
      <c r="P415">
        <v>863</v>
      </c>
      <c r="Q415" t="s">
        <v>36</v>
      </c>
      <c r="R415" t="s">
        <v>37</v>
      </c>
      <c r="S415" t="s">
        <v>38</v>
      </c>
      <c r="T415" t="s">
        <v>29</v>
      </c>
      <c r="U415" t="s">
        <v>30</v>
      </c>
    </row>
    <row r="416" spans="1:21" x14ac:dyDescent="0.25">
      <c r="A416">
        <v>415</v>
      </c>
      <c r="B416" t="s">
        <v>864</v>
      </c>
      <c r="C416">
        <v>946660</v>
      </c>
      <c r="D416" t="s">
        <v>18</v>
      </c>
      <c r="E416">
        <v>28</v>
      </c>
      <c r="F416" t="str">
        <f t="shared" si="12"/>
        <v>teenager</v>
      </c>
      <c r="G416" t="s">
        <v>19</v>
      </c>
      <c r="H416" t="str">
        <f t="shared" si="13"/>
        <v>Dec</v>
      </c>
      <c r="I416" t="s">
        <v>20</v>
      </c>
      <c r="J416" t="s">
        <v>33</v>
      </c>
      <c r="K416" t="s">
        <v>865</v>
      </c>
      <c r="L416" t="s">
        <v>42</v>
      </c>
      <c r="M416" t="s">
        <v>24</v>
      </c>
      <c r="N416">
        <v>1</v>
      </c>
      <c r="O416" t="s">
        <v>25</v>
      </c>
      <c r="P416">
        <v>549</v>
      </c>
      <c r="Q416" t="s">
        <v>53</v>
      </c>
      <c r="R416" t="s">
        <v>54</v>
      </c>
      <c r="S416" t="s">
        <v>55</v>
      </c>
      <c r="T416" t="s">
        <v>29</v>
      </c>
      <c r="U416" t="s">
        <v>30</v>
      </c>
    </row>
    <row r="417" spans="1:21" x14ac:dyDescent="0.25">
      <c r="A417">
        <v>416</v>
      </c>
      <c r="B417" t="s">
        <v>866</v>
      </c>
      <c r="C417">
        <v>167642</v>
      </c>
      <c r="D417" t="s">
        <v>32</v>
      </c>
      <c r="E417">
        <v>58</v>
      </c>
      <c r="F417" t="str">
        <f t="shared" si="12"/>
        <v>senior</v>
      </c>
      <c r="G417" t="s">
        <v>19</v>
      </c>
      <c r="H417" t="str">
        <f t="shared" si="13"/>
        <v>Dec</v>
      </c>
      <c r="I417" t="s">
        <v>20</v>
      </c>
      <c r="J417" t="s">
        <v>21</v>
      </c>
      <c r="K417" t="s">
        <v>867</v>
      </c>
      <c r="L417" t="s">
        <v>42</v>
      </c>
      <c r="M417" t="s">
        <v>50</v>
      </c>
      <c r="N417">
        <v>1</v>
      </c>
      <c r="O417" t="s">
        <v>25</v>
      </c>
      <c r="P417">
        <v>1175</v>
      </c>
      <c r="Q417" t="s">
        <v>36</v>
      </c>
      <c r="R417" t="s">
        <v>37</v>
      </c>
      <c r="S417" t="s">
        <v>38</v>
      </c>
      <c r="T417" t="s">
        <v>29</v>
      </c>
      <c r="U417" t="s">
        <v>30</v>
      </c>
    </row>
    <row r="418" spans="1:21" x14ac:dyDescent="0.25">
      <c r="A418">
        <v>417</v>
      </c>
      <c r="B418" t="s">
        <v>868</v>
      </c>
      <c r="C418">
        <v>831082</v>
      </c>
      <c r="D418" t="s">
        <v>18</v>
      </c>
      <c r="E418">
        <v>46</v>
      </c>
      <c r="F418" t="str">
        <f t="shared" si="12"/>
        <v>adult</v>
      </c>
      <c r="G418" t="s">
        <v>19</v>
      </c>
      <c r="H418" t="str">
        <f t="shared" si="13"/>
        <v>Dec</v>
      </c>
      <c r="I418" t="s">
        <v>20</v>
      </c>
      <c r="J418" t="s">
        <v>45</v>
      </c>
      <c r="K418" t="s">
        <v>869</v>
      </c>
      <c r="L418" t="s">
        <v>42</v>
      </c>
      <c r="M418" t="s">
        <v>24</v>
      </c>
      <c r="N418">
        <v>1</v>
      </c>
      <c r="O418" t="s">
        <v>25</v>
      </c>
      <c r="P418">
        <v>631</v>
      </c>
      <c r="Q418" t="s">
        <v>63</v>
      </c>
      <c r="R418" t="s">
        <v>64</v>
      </c>
      <c r="S418" t="s">
        <v>65</v>
      </c>
      <c r="T418" t="s">
        <v>29</v>
      </c>
      <c r="U418" t="s">
        <v>43</v>
      </c>
    </row>
    <row r="419" spans="1:21" x14ac:dyDescent="0.25">
      <c r="A419">
        <v>418</v>
      </c>
      <c r="B419" t="s">
        <v>870</v>
      </c>
      <c r="C419">
        <v>418677</v>
      </c>
      <c r="D419" t="s">
        <v>32</v>
      </c>
      <c r="E419">
        <v>27</v>
      </c>
      <c r="F419" t="str">
        <f t="shared" si="12"/>
        <v>teenager</v>
      </c>
      <c r="G419" t="s">
        <v>19</v>
      </c>
      <c r="H419" t="str">
        <f t="shared" si="13"/>
        <v>Dec</v>
      </c>
      <c r="I419" t="s">
        <v>20</v>
      </c>
      <c r="J419" t="s">
        <v>21</v>
      </c>
      <c r="K419" t="s">
        <v>871</v>
      </c>
      <c r="L419" t="s">
        <v>42</v>
      </c>
      <c r="M419" t="s">
        <v>24</v>
      </c>
      <c r="N419">
        <v>1</v>
      </c>
      <c r="O419" t="s">
        <v>25</v>
      </c>
      <c r="P419">
        <v>1467</v>
      </c>
      <c r="Q419" t="s">
        <v>26</v>
      </c>
      <c r="R419" t="s">
        <v>27</v>
      </c>
      <c r="S419" t="s">
        <v>28</v>
      </c>
      <c r="T419" t="s">
        <v>29</v>
      </c>
      <c r="U419" t="s">
        <v>30</v>
      </c>
    </row>
    <row r="420" spans="1:21" x14ac:dyDescent="0.25">
      <c r="A420">
        <v>419</v>
      </c>
      <c r="B420" t="s">
        <v>872</v>
      </c>
      <c r="C420">
        <v>300957</v>
      </c>
      <c r="D420" t="s">
        <v>18</v>
      </c>
      <c r="E420">
        <v>50</v>
      </c>
      <c r="F420" t="str">
        <f t="shared" si="12"/>
        <v>senior</v>
      </c>
      <c r="G420" t="s">
        <v>19</v>
      </c>
      <c r="H420" t="str">
        <f t="shared" si="13"/>
        <v>Dec</v>
      </c>
      <c r="I420" t="s">
        <v>20</v>
      </c>
      <c r="J420" t="s">
        <v>45</v>
      </c>
      <c r="K420" t="s">
        <v>873</v>
      </c>
      <c r="L420" t="s">
        <v>23</v>
      </c>
      <c r="M420" t="s">
        <v>50</v>
      </c>
      <c r="N420">
        <v>1</v>
      </c>
      <c r="O420" t="s">
        <v>25</v>
      </c>
      <c r="P420">
        <v>1724</v>
      </c>
      <c r="Q420" t="s">
        <v>26</v>
      </c>
      <c r="R420" t="s">
        <v>27</v>
      </c>
      <c r="S420" t="s">
        <v>28</v>
      </c>
      <c r="T420" t="s">
        <v>29</v>
      </c>
      <c r="U420" t="s">
        <v>30</v>
      </c>
    </row>
    <row r="421" spans="1:21" x14ac:dyDescent="0.25">
      <c r="A421">
        <v>420</v>
      </c>
      <c r="B421" t="s">
        <v>874</v>
      </c>
      <c r="C421">
        <v>983370</v>
      </c>
      <c r="D421" t="s">
        <v>32</v>
      </c>
      <c r="E421">
        <v>62</v>
      </c>
      <c r="F421" t="str">
        <f t="shared" si="12"/>
        <v>senior</v>
      </c>
      <c r="G421" t="s">
        <v>19</v>
      </c>
      <c r="H421" t="str">
        <f t="shared" si="13"/>
        <v>Dec</v>
      </c>
      <c r="I421" t="s">
        <v>20</v>
      </c>
      <c r="J421" t="s">
        <v>33</v>
      </c>
      <c r="K421" t="s">
        <v>875</v>
      </c>
      <c r="L421" t="s">
        <v>58</v>
      </c>
      <c r="M421" t="s">
        <v>76</v>
      </c>
      <c r="N421">
        <v>1</v>
      </c>
      <c r="O421" t="s">
        <v>25</v>
      </c>
      <c r="P421">
        <v>1165</v>
      </c>
      <c r="Q421" t="s">
        <v>26</v>
      </c>
      <c r="R421" t="s">
        <v>27</v>
      </c>
      <c r="S421" t="s">
        <v>28</v>
      </c>
      <c r="T421" t="s">
        <v>29</v>
      </c>
      <c r="U421" t="s">
        <v>43</v>
      </c>
    </row>
    <row r="422" spans="1:21" x14ac:dyDescent="0.25">
      <c r="A422">
        <v>421</v>
      </c>
      <c r="B422" t="s">
        <v>876</v>
      </c>
      <c r="C422">
        <v>357706</v>
      </c>
      <c r="D422" t="s">
        <v>18</v>
      </c>
      <c r="E422">
        <v>29</v>
      </c>
      <c r="F422" t="str">
        <f t="shared" si="12"/>
        <v>teenager</v>
      </c>
      <c r="G422" t="s">
        <v>19</v>
      </c>
      <c r="H422" t="str">
        <f t="shared" si="13"/>
        <v>Dec</v>
      </c>
      <c r="I422" t="s">
        <v>20</v>
      </c>
      <c r="J422" t="s">
        <v>40</v>
      </c>
      <c r="K422" t="s">
        <v>877</v>
      </c>
      <c r="L422" t="s">
        <v>42</v>
      </c>
      <c r="M422" t="s">
        <v>50</v>
      </c>
      <c r="N422">
        <v>1</v>
      </c>
      <c r="O422" t="s">
        <v>25</v>
      </c>
      <c r="P422">
        <v>527</v>
      </c>
      <c r="Q422" t="s">
        <v>53</v>
      </c>
      <c r="R422" t="s">
        <v>54</v>
      </c>
      <c r="S422" t="s">
        <v>55</v>
      </c>
      <c r="T422" t="s">
        <v>29</v>
      </c>
      <c r="U422" t="s">
        <v>43</v>
      </c>
    </row>
    <row r="423" spans="1:21" x14ac:dyDescent="0.25">
      <c r="A423">
        <v>422</v>
      </c>
      <c r="B423" t="s">
        <v>878</v>
      </c>
      <c r="C423">
        <v>171387</v>
      </c>
      <c r="D423" t="s">
        <v>32</v>
      </c>
      <c r="E423">
        <v>38</v>
      </c>
      <c r="F423" t="str">
        <f t="shared" si="12"/>
        <v>adult</v>
      </c>
      <c r="G423" t="s">
        <v>19</v>
      </c>
      <c r="H423" t="str">
        <f t="shared" si="13"/>
        <v>Dec</v>
      </c>
      <c r="I423" t="s">
        <v>20</v>
      </c>
      <c r="J423" t="s">
        <v>40</v>
      </c>
      <c r="K423" t="s">
        <v>879</v>
      </c>
      <c r="L423" t="s">
        <v>58</v>
      </c>
      <c r="M423" t="s">
        <v>50</v>
      </c>
      <c r="N423">
        <v>1</v>
      </c>
      <c r="O423" t="s">
        <v>25</v>
      </c>
      <c r="P423">
        <v>1692</v>
      </c>
      <c r="Q423" t="s">
        <v>36</v>
      </c>
      <c r="R423" t="s">
        <v>37</v>
      </c>
      <c r="S423" t="s">
        <v>38</v>
      </c>
      <c r="T423" t="s">
        <v>29</v>
      </c>
      <c r="U423" t="s">
        <v>30</v>
      </c>
    </row>
    <row r="424" spans="1:21" x14ac:dyDescent="0.25">
      <c r="A424">
        <v>423</v>
      </c>
      <c r="B424" t="s">
        <v>880</v>
      </c>
      <c r="C424">
        <v>160785</v>
      </c>
      <c r="D424" t="s">
        <v>18</v>
      </c>
      <c r="E424">
        <v>60</v>
      </c>
      <c r="F424" t="str">
        <f t="shared" si="12"/>
        <v>senior</v>
      </c>
      <c r="G424" t="s">
        <v>19</v>
      </c>
      <c r="H424" t="str">
        <f t="shared" si="13"/>
        <v>Dec</v>
      </c>
      <c r="I424" t="s">
        <v>20</v>
      </c>
      <c r="J424" t="s">
        <v>40</v>
      </c>
      <c r="K424" t="s">
        <v>881</v>
      </c>
      <c r="L424" t="s">
        <v>58</v>
      </c>
      <c r="M424" t="s">
        <v>76</v>
      </c>
      <c r="N424">
        <v>1</v>
      </c>
      <c r="O424" t="s">
        <v>25</v>
      </c>
      <c r="P424">
        <v>1796</v>
      </c>
      <c r="Q424" t="s">
        <v>26</v>
      </c>
      <c r="R424" t="s">
        <v>27</v>
      </c>
      <c r="S424" t="s">
        <v>28</v>
      </c>
      <c r="T424" t="s">
        <v>29</v>
      </c>
      <c r="U424" t="s">
        <v>43</v>
      </c>
    </row>
    <row r="425" spans="1:21" x14ac:dyDescent="0.25">
      <c r="A425">
        <v>424</v>
      </c>
      <c r="B425" t="s">
        <v>882</v>
      </c>
      <c r="C425">
        <v>282706</v>
      </c>
      <c r="D425" t="s">
        <v>32</v>
      </c>
      <c r="E425">
        <v>38</v>
      </c>
      <c r="F425" t="str">
        <f t="shared" si="12"/>
        <v>adult</v>
      </c>
      <c r="G425" t="s">
        <v>19</v>
      </c>
      <c r="H425" t="str">
        <f t="shared" si="13"/>
        <v>Dec</v>
      </c>
      <c r="I425" t="s">
        <v>20</v>
      </c>
      <c r="J425" t="s">
        <v>45</v>
      </c>
      <c r="K425" t="s">
        <v>401</v>
      </c>
      <c r="L425" t="s">
        <v>23</v>
      </c>
      <c r="M425" t="s">
        <v>24</v>
      </c>
      <c r="N425">
        <v>1</v>
      </c>
      <c r="O425" t="s">
        <v>25</v>
      </c>
      <c r="P425">
        <v>1260</v>
      </c>
      <c r="Q425" t="s">
        <v>36</v>
      </c>
      <c r="R425" t="s">
        <v>37</v>
      </c>
      <c r="S425" t="s">
        <v>38</v>
      </c>
      <c r="T425" t="s">
        <v>29</v>
      </c>
      <c r="U425" t="s">
        <v>43</v>
      </c>
    </row>
    <row r="426" spans="1:21" x14ac:dyDescent="0.25">
      <c r="A426">
        <v>425</v>
      </c>
      <c r="B426" t="s">
        <v>883</v>
      </c>
      <c r="C426">
        <v>580506</v>
      </c>
      <c r="D426" t="s">
        <v>18</v>
      </c>
      <c r="E426">
        <v>69</v>
      </c>
      <c r="F426" t="str">
        <f t="shared" si="12"/>
        <v>senior</v>
      </c>
      <c r="G426" t="s">
        <v>19</v>
      </c>
      <c r="H426" t="str">
        <f t="shared" si="13"/>
        <v>Dec</v>
      </c>
      <c r="I426" t="s">
        <v>20</v>
      </c>
      <c r="J426" t="s">
        <v>21</v>
      </c>
      <c r="K426" t="s">
        <v>884</v>
      </c>
      <c r="L426" t="s">
        <v>58</v>
      </c>
      <c r="M426" t="s">
        <v>47</v>
      </c>
      <c r="N426">
        <v>1</v>
      </c>
      <c r="O426" t="s">
        <v>25</v>
      </c>
      <c r="P426">
        <v>453</v>
      </c>
      <c r="Q426" t="s">
        <v>26</v>
      </c>
      <c r="R426" t="s">
        <v>27</v>
      </c>
      <c r="S426" t="s">
        <v>28</v>
      </c>
      <c r="T426" t="s">
        <v>29</v>
      </c>
      <c r="U426" t="s">
        <v>30</v>
      </c>
    </row>
    <row r="427" spans="1:21" x14ac:dyDescent="0.25">
      <c r="A427">
        <v>426</v>
      </c>
      <c r="B427" t="s">
        <v>885</v>
      </c>
      <c r="C427">
        <v>649818</v>
      </c>
      <c r="D427" t="s">
        <v>32</v>
      </c>
      <c r="E427">
        <v>37</v>
      </c>
      <c r="F427" t="str">
        <f t="shared" si="12"/>
        <v>adult</v>
      </c>
      <c r="G427" t="s">
        <v>19</v>
      </c>
      <c r="H427" t="str">
        <f t="shared" si="13"/>
        <v>Dec</v>
      </c>
      <c r="I427" t="s">
        <v>20</v>
      </c>
      <c r="J427" t="s">
        <v>40</v>
      </c>
      <c r="K427" t="s">
        <v>886</v>
      </c>
      <c r="L427" t="s">
        <v>42</v>
      </c>
      <c r="M427" t="s">
        <v>47</v>
      </c>
      <c r="N427">
        <v>1</v>
      </c>
      <c r="O427" t="s">
        <v>25</v>
      </c>
      <c r="P427">
        <v>862</v>
      </c>
      <c r="Q427" t="s">
        <v>53</v>
      </c>
      <c r="R427" t="s">
        <v>54</v>
      </c>
      <c r="S427" t="s">
        <v>55</v>
      </c>
      <c r="T427" t="s">
        <v>29</v>
      </c>
      <c r="U427" t="s">
        <v>30</v>
      </c>
    </row>
    <row r="428" spans="1:21" x14ac:dyDescent="0.25">
      <c r="A428">
        <v>427</v>
      </c>
      <c r="B428" t="s">
        <v>887</v>
      </c>
      <c r="C428">
        <v>319917</v>
      </c>
      <c r="D428" t="s">
        <v>18</v>
      </c>
      <c r="E428">
        <v>30</v>
      </c>
      <c r="F428" t="str">
        <f t="shared" si="12"/>
        <v>adult</v>
      </c>
      <c r="G428" t="s">
        <v>19</v>
      </c>
      <c r="H428" t="str">
        <f t="shared" si="13"/>
        <v>Dec</v>
      </c>
      <c r="I428" t="s">
        <v>20</v>
      </c>
      <c r="J428" t="s">
        <v>40</v>
      </c>
      <c r="K428" t="s">
        <v>888</v>
      </c>
      <c r="L428" t="s">
        <v>23</v>
      </c>
      <c r="M428" t="s">
        <v>76</v>
      </c>
      <c r="N428">
        <v>1</v>
      </c>
      <c r="O428" t="s">
        <v>25</v>
      </c>
      <c r="P428">
        <v>1601</v>
      </c>
      <c r="Q428" t="s">
        <v>53</v>
      </c>
      <c r="R428" t="s">
        <v>54</v>
      </c>
      <c r="S428" t="s">
        <v>55</v>
      </c>
      <c r="T428" t="s">
        <v>29</v>
      </c>
      <c r="U428" t="s">
        <v>43</v>
      </c>
    </row>
    <row r="429" spans="1:21" x14ac:dyDescent="0.25">
      <c r="A429">
        <v>428</v>
      </c>
      <c r="B429" t="s">
        <v>889</v>
      </c>
      <c r="C429">
        <v>771945</v>
      </c>
      <c r="D429" t="s">
        <v>32</v>
      </c>
      <c r="E429">
        <v>55</v>
      </c>
      <c r="F429" t="str">
        <f t="shared" si="12"/>
        <v>senior</v>
      </c>
      <c r="G429" t="s">
        <v>19</v>
      </c>
      <c r="H429" t="str">
        <f t="shared" si="13"/>
        <v>Dec</v>
      </c>
      <c r="I429" t="s">
        <v>20</v>
      </c>
      <c r="J429" t="s">
        <v>21</v>
      </c>
      <c r="K429" t="s">
        <v>890</v>
      </c>
      <c r="L429" t="s">
        <v>42</v>
      </c>
      <c r="M429" t="s">
        <v>76</v>
      </c>
      <c r="N429">
        <v>1</v>
      </c>
      <c r="O429" t="s">
        <v>25</v>
      </c>
      <c r="P429">
        <v>1063</v>
      </c>
      <c r="Q429" t="s">
        <v>26</v>
      </c>
      <c r="R429" t="s">
        <v>27</v>
      </c>
      <c r="S429" t="s">
        <v>28</v>
      </c>
      <c r="T429" t="s">
        <v>29</v>
      </c>
      <c r="U429" t="s">
        <v>43</v>
      </c>
    </row>
    <row r="430" spans="1:21" x14ac:dyDescent="0.25">
      <c r="A430">
        <v>429</v>
      </c>
      <c r="B430" t="s">
        <v>891</v>
      </c>
      <c r="C430">
        <v>782787</v>
      </c>
      <c r="D430" t="s">
        <v>18</v>
      </c>
      <c r="E430">
        <v>53</v>
      </c>
      <c r="F430" t="str">
        <f t="shared" si="12"/>
        <v>senior</v>
      </c>
      <c r="G430" t="s">
        <v>19</v>
      </c>
      <c r="H430" t="str">
        <f t="shared" si="13"/>
        <v>Dec</v>
      </c>
      <c r="I430" t="s">
        <v>20</v>
      </c>
      <c r="J430" t="s">
        <v>21</v>
      </c>
      <c r="K430" t="s">
        <v>892</v>
      </c>
      <c r="L430" t="s">
        <v>58</v>
      </c>
      <c r="M430" t="s">
        <v>35</v>
      </c>
      <c r="N430">
        <v>1</v>
      </c>
      <c r="O430" t="s">
        <v>25</v>
      </c>
      <c r="P430">
        <v>1635</v>
      </c>
      <c r="Q430" t="s">
        <v>63</v>
      </c>
      <c r="R430" t="s">
        <v>64</v>
      </c>
      <c r="S430" t="s">
        <v>65</v>
      </c>
      <c r="T430" t="s">
        <v>29</v>
      </c>
      <c r="U430" t="s">
        <v>30</v>
      </c>
    </row>
    <row r="431" spans="1:21" x14ac:dyDescent="0.25">
      <c r="A431">
        <v>430</v>
      </c>
      <c r="B431" t="s">
        <v>893</v>
      </c>
      <c r="C431">
        <v>172649</v>
      </c>
      <c r="D431" t="s">
        <v>32</v>
      </c>
      <c r="E431">
        <v>57</v>
      </c>
      <c r="F431" t="str">
        <f t="shared" si="12"/>
        <v>senior</v>
      </c>
      <c r="G431" t="s">
        <v>19</v>
      </c>
      <c r="H431" t="str">
        <f t="shared" si="13"/>
        <v>Dec</v>
      </c>
      <c r="I431" t="s">
        <v>20</v>
      </c>
      <c r="J431" t="s">
        <v>33</v>
      </c>
      <c r="K431" t="s">
        <v>894</v>
      </c>
      <c r="L431" t="s">
        <v>58</v>
      </c>
      <c r="M431" t="s">
        <v>47</v>
      </c>
      <c r="N431">
        <v>1</v>
      </c>
      <c r="O431" t="s">
        <v>25</v>
      </c>
      <c r="P431">
        <v>512</v>
      </c>
      <c r="Q431" t="s">
        <v>36</v>
      </c>
      <c r="R431" t="s">
        <v>37</v>
      </c>
      <c r="S431" t="s">
        <v>38</v>
      </c>
      <c r="T431" t="s">
        <v>29</v>
      </c>
      <c r="U431" t="s">
        <v>30</v>
      </c>
    </row>
    <row r="432" spans="1:21" x14ac:dyDescent="0.25">
      <c r="A432">
        <v>431</v>
      </c>
      <c r="B432" t="s">
        <v>895</v>
      </c>
      <c r="C432">
        <v>718153</v>
      </c>
      <c r="D432" t="s">
        <v>18</v>
      </c>
      <c r="E432">
        <v>63</v>
      </c>
      <c r="F432" t="str">
        <f t="shared" si="12"/>
        <v>senior</v>
      </c>
      <c r="G432" t="s">
        <v>19</v>
      </c>
      <c r="H432" t="str">
        <f t="shared" si="13"/>
        <v>Dec</v>
      </c>
      <c r="I432" t="s">
        <v>20</v>
      </c>
      <c r="J432" t="s">
        <v>33</v>
      </c>
      <c r="K432" t="s">
        <v>861</v>
      </c>
      <c r="L432" t="s">
        <v>23</v>
      </c>
      <c r="M432" t="s">
        <v>24</v>
      </c>
      <c r="N432">
        <v>1</v>
      </c>
      <c r="O432" t="s">
        <v>25</v>
      </c>
      <c r="P432">
        <v>868</v>
      </c>
      <c r="Q432" t="s">
        <v>63</v>
      </c>
      <c r="R432" t="s">
        <v>64</v>
      </c>
      <c r="S432" t="s">
        <v>65</v>
      </c>
      <c r="T432" t="s">
        <v>29</v>
      </c>
      <c r="U432" t="s">
        <v>43</v>
      </c>
    </row>
    <row r="433" spans="1:21" x14ac:dyDescent="0.25">
      <c r="A433">
        <v>432</v>
      </c>
      <c r="B433" t="s">
        <v>896</v>
      </c>
      <c r="C433">
        <v>392095</v>
      </c>
      <c r="D433" t="s">
        <v>32</v>
      </c>
      <c r="E433">
        <v>45</v>
      </c>
      <c r="F433" t="str">
        <f t="shared" si="12"/>
        <v>adult</v>
      </c>
      <c r="G433" t="s">
        <v>19</v>
      </c>
      <c r="H433" t="str">
        <f t="shared" si="13"/>
        <v>Dec</v>
      </c>
      <c r="I433" t="s">
        <v>20</v>
      </c>
      <c r="J433" t="s">
        <v>45</v>
      </c>
      <c r="K433" t="s">
        <v>897</v>
      </c>
      <c r="L433" t="s">
        <v>58</v>
      </c>
      <c r="M433" t="s">
        <v>47</v>
      </c>
      <c r="N433">
        <v>1</v>
      </c>
      <c r="O433" t="s">
        <v>25</v>
      </c>
      <c r="P433">
        <v>327</v>
      </c>
      <c r="Q433" t="s">
        <v>36</v>
      </c>
      <c r="R433" t="s">
        <v>37</v>
      </c>
      <c r="S433" t="s">
        <v>38</v>
      </c>
      <c r="T433" t="s">
        <v>29</v>
      </c>
      <c r="U433" t="s">
        <v>43</v>
      </c>
    </row>
    <row r="434" spans="1:21" x14ac:dyDescent="0.25">
      <c r="A434">
        <v>433</v>
      </c>
      <c r="B434" t="s">
        <v>898</v>
      </c>
      <c r="C434">
        <v>888733</v>
      </c>
      <c r="D434" t="s">
        <v>18</v>
      </c>
      <c r="E434">
        <v>64</v>
      </c>
      <c r="F434" t="str">
        <f t="shared" si="12"/>
        <v>senior</v>
      </c>
      <c r="G434" t="s">
        <v>19</v>
      </c>
      <c r="H434" t="str">
        <f t="shared" si="13"/>
        <v>Dec</v>
      </c>
      <c r="I434" t="s">
        <v>20</v>
      </c>
      <c r="J434" t="s">
        <v>21</v>
      </c>
      <c r="K434" t="s">
        <v>847</v>
      </c>
      <c r="L434" t="s">
        <v>23</v>
      </c>
      <c r="M434" t="s">
        <v>47</v>
      </c>
      <c r="N434">
        <v>1</v>
      </c>
      <c r="O434" t="s">
        <v>25</v>
      </c>
      <c r="P434">
        <v>1377</v>
      </c>
      <c r="Q434" t="s">
        <v>26</v>
      </c>
      <c r="R434" t="s">
        <v>27</v>
      </c>
      <c r="S434" t="s">
        <v>28</v>
      </c>
      <c r="T434" t="s">
        <v>29</v>
      </c>
      <c r="U434" t="s">
        <v>30</v>
      </c>
    </row>
    <row r="435" spans="1:21" x14ac:dyDescent="0.25">
      <c r="A435">
        <v>434</v>
      </c>
      <c r="B435" t="s">
        <v>899</v>
      </c>
      <c r="C435">
        <v>734156</v>
      </c>
      <c r="D435" t="s">
        <v>32</v>
      </c>
      <c r="E435">
        <v>42</v>
      </c>
      <c r="F435" t="str">
        <f t="shared" si="12"/>
        <v>adult</v>
      </c>
      <c r="G435" t="s">
        <v>19</v>
      </c>
      <c r="H435" t="str">
        <f t="shared" si="13"/>
        <v>Dec</v>
      </c>
      <c r="I435" t="s">
        <v>20</v>
      </c>
      <c r="J435" t="s">
        <v>33</v>
      </c>
      <c r="K435" t="s">
        <v>900</v>
      </c>
      <c r="L435" t="s">
        <v>23</v>
      </c>
      <c r="M435" t="s">
        <v>24</v>
      </c>
      <c r="N435">
        <v>1</v>
      </c>
      <c r="O435" t="s">
        <v>25</v>
      </c>
      <c r="P435">
        <v>1276</v>
      </c>
      <c r="Q435" t="s">
        <v>26</v>
      </c>
      <c r="R435" t="s">
        <v>27</v>
      </c>
      <c r="S435" t="s">
        <v>28</v>
      </c>
      <c r="T435" t="s">
        <v>29</v>
      </c>
      <c r="U435" t="s">
        <v>43</v>
      </c>
    </row>
    <row r="436" spans="1:21" x14ac:dyDescent="0.25">
      <c r="A436">
        <v>435</v>
      </c>
      <c r="B436" t="s">
        <v>901</v>
      </c>
      <c r="C436">
        <v>223927</v>
      </c>
      <c r="D436" t="s">
        <v>18</v>
      </c>
      <c r="E436">
        <v>42</v>
      </c>
      <c r="F436" t="str">
        <f t="shared" si="12"/>
        <v>adult</v>
      </c>
      <c r="G436" t="s">
        <v>19</v>
      </c>
      <c r="H436" t="str">
        <f t="shared" si="13"/>
        <v>Dec</v>
      </c>
      <c r="I436" t="s">
        <v>20</v>
      </c>
      <c r="J436" t="s">
        <v>40</v>
      </c>
      <c r="K436" t="s">
        <v>902</v>
      </c>
      <c r="L436" t="s">
        <v>42</v>
      </c>
      <c r="M436" t="s">
        <v>24</v>
      </c>
      <c r="N436">
        <v>1</v>
      </c>
      <c r="O436" t="s">
        <v>25</v>
      </c>
      <c r="P436">
        <v>316</v>
      </c>
      <c r="Q436" t="s">
        <v>63</v>
      </c>
      <c r="R436" t="s">
        <v>64</v>
      </c>
      <c r="S436" t="s">
        <v>65</v>
      </c>
      <c r="T436" t="s">
        <v>29</v>
      </c>
      <c r="U436" t="s">
        <v>43</v>
      </c>
    </row>
    <row r="437" spans="1:21" x14ac:dyDescent="0.25">
      <c r="A437">
        <v>436</v>
      </c>
      <c r="B437" t="s">
        <v>903</v>
      </c>
      <c r="C437">
        <v>181120</v>
      </c>
      <c r="D437" t="s">
        <v>32</v>
      </c>
      <c r="E437">
        <v>63</v>
      </c>
      <c r="F437" t="str">
        <f t="shared" si="12"/>
        <v>senior</v>
      </c>
      <c r="G437" t="s">
        <v>19</v>
      </c>
      <c r="H437" t="str">
        <f t="shared" si="13"/>
        <v>Dec</v>
      </c>
      <c r="I437" t="s">
        <v>20</v>
      </c>
      <c r="J437" t="s">
        <v>45</v>
      </c>
      <c r="K437" t="s">
        <v>904</v>
      </c>
      <c r="L437" t="s">
        <v>42</v>
      </c>
      <c r="M437" t="s">
        <v>35</v>
      </c>
      <c r="N437">
        <v>1</v>
      </c>
      <c r="O437" t="s">
        <v>25</v>
      </c>
      <c r="P437">
        <v>805</v>
      </c>
      <c r="Q437" t="s">
        <v>53</v>
      </c>
      <c r="R437" t="s">
        <v>54</v>
      </c>
      <c r="S437" t="s">
        <v>55</v>
      </c>
      <c r="T437" t="s">
        <v>29</v>
      </c>
      <c r="U437" t="s">
        <v>30</v>
      </c>
    </row>
    <row r="438" spans="1:21" x14ac:dyDescent="0.25">
      <c r="A438">
        <v>437</v>
      </c>
      <c r="B438" t="s">
        <v>905</v>
      </c>
      <c r="C438">
        <v>283883</v>
      </c>
      <c r="D438" t="s">
        <v>18</v>
      </c>
      <c r="E438">
        <v>23</v>
      </c>
      <c r="F438" t="str">
        <f t="shared" si="12"/>
        <v>teenager</v>
      </c>
      <c r="G438" t="s">
        <v>19</v>
      </c>
      <c r="H438" t="str">
        <f t="shared" si="13"/>
        <v>Dec</v>
      </c>
      <c r="I438" t="s">
        <v>20</v>
      </c>
      <c r="J438" t="s">
        <v>45</v>
      </c>
      <c r="K438" t="s">
        <v>906</v>
      </c>
      <c r="L438" t="s">
        <v>58</v>
      </c>
      <c r="M438" t="s">
        <v>35</v>
      </c>
      <c r="N438">
        <v>1</v>
      </c>
      <c r="O438" t="s">
        <v>25</v>
      </c>
      <c r="P438">
        <v>554</v>
      </c>
      <c r="Q438" t="s">
        <v>26</v>
      </c>
      <c r="R438" t="s">
        <v>27</v>
      </c>
      <c r="S438" t="s">
        <v>28</v>
      </c>
      <c r="T438" t="s">
        <v>29</v>
      </c>
      <c r="U438" t="s">
        <v>43</v>
      </c>
    </row>
    <row r="439" spans="1:21" x14ac:dyDescent="0.25">
      <c r="A439">
        <v>438</v>
      </c>
      <c r="B439" t="s">
        <v>907</v>
      </c>
      <c r="C439">
        <v>545957</v>
      </c>
      <c r="D439" t="s">
        <v>32</v>
      </c>
      <c r="E439">
        <v>57</v>
      </c>
      <c r="F439" t="str">
        <f t="shared" si="12"/>
        <v>senior</v>
      </c>
      <c r="G439" t="s">
        <v>19</v>
      </c>
      <c r="H439" t="str">
        <f t="shared" si="13"/>
        <v>Dec</v>
      </c>
      <c r="I439" t="s">
        <v>20</v>
      </c>
      <c r="J439" t="s">
        <v>33</v>
      </c>
      <c r="K439" t="s">
        <v>908</v>
      </c>
      <c r="L439" t="s">
        <v>23</v>
      </c>
      <c r="M439" t="s">
        <v>47</v>
      </c>
      <c r="N439">
        <v>1</v>
      </c>
      <c r="O439" t="s">
        <v>25</v>
      </c>
      <c r="P439">
        <v>431</v>
      </c>
      <c r="Q439" t="s">
        <v>63</v>
      </c>
      <c r="R439" t="s">
        <v>64</v>
      </c>
      <c r="S439" t="s">
        <v>65</v>
      </c>
      <c r="T439" t="s">
        <v>29</v>
      </c>
      <c r="U439" t="s">
        <v>43</v>
      </c>
    </row>
    <row r="440" spans="1:21" x14ac:dyDescent="0.25">
      <c r="A440">
        <v>439</v>
      </c>
      <c r="B440" t="s">
        <v>909</v>
      </c>
      <c r="C440">
        <v>389120</v>
      </c>
      <c r="D440" t="s">
        <v>18</v>
      </c>
      <c r="E440">
        <v>47</v>
      </c>
      <c r="F440" t="str">
        <f t="shared" si="12"/>
        <v>adult</v>
      </c>
      <c r="G440" t="s">
        <v>19</v>
      </c>
      <c r="H440" t="str">
        <f t="shared" si="13"/>
        <v>Dec</v>
      </c>
      <c r="I440" t="s">
        <v>20</v>
      </c>
      <c r="J440" t="s">
        <v>21</v>
      </c>
      <c r="K440" t="s">
        <v>910</v>
      </c>
      <c r="L440" t="s">
        <v>42</v>
      </c>
      <c r="M440" t="s">
        <v>35</v>
      </c>
      <c r="N440">
        <v>1</v>
      </c>
      <c r="O440" t="s">
        <v>25</v>
      </c>
      <c r="P440">
        <v>832</v>
      </c>
      <c r="Q440" t="s">
        <v>63</v>
      </c>
      <c r="R440" t="s">
        <v>64</v>
      </c>
      <c r="S440" t="s">
        <v>65</v>
      </c>
      <c r="T440" t="s">
        <v>29</v>
      </c>
      <c r="U440" t="s">
        <v>43</v>
      </c>
    </row>
    <row r="441" spans="1:21" x14ac:dyDescent="0.25">
      <c r="A441">
        <v>440</v>
      </c>
      <c r="B441" t="s">
        <v>911</v>
      </c>
      <c r="C441">
        <v>911566</v>
      </c>
      <c r="D441" t="s">
        <v>32</v>
      </c>
      <c r="E441">
        <v>19</v>
      </c>
      <c r="F441" t="str">
        <f t="shared" si="12"/>
        <v>teenager</v>
      </c>
      <c r="G441" t="s">
        <v>19</v>
      </c>
      <c r="H441" t="str">
        <f t="shared" si="13"/>
        <v>Dec</v>
      </c>
      <c r="I441" t="s">
        <v>20</v>
      </c>
      <c r="J441" t="s">
        <v>45</v>
      </c>
      <c r="K441" t="s">
        <v>912</v>
      </c>
      <c r="L441" t="s">
        <v>58</v>
      </c>
      <c r="M441" t="s">
        <v>24</v>
      </c>
      <c r="N441">
        <v>1</v>
      </c>
      <c r="O441" t="s">
        <v>25</v>
      </c>
      <c r="P441">
        <v>1186</v>
      </c>
      <c r="Q441" t="s">
        <v>36</v>
      </c>
      <c r="R441" t="s">
        <v>37</v>
      </c>
      <c r="S441" t="s">
        <v>38</v>
      </c>
      <c r="T441" t="s">
        <v>29</v>
      </c>
      <c r="U441" t="s">
        <v>43</v>
      </c>
    </row>
    <row r="442" spans="1:21" x14ac:dyDescent="0.25">
      <c r="A442">
        <v>441</v>
      </c>
      <c r="B442" t="s">
        <v>913</v>
      </c>
      <c r="C442">
        <v>657548</v>
      </c>
      <c r="D442" t="s">
        <v>18</v>
      </c>
      <c r="E442">
        <v>61</v>
      </c>
      <c r="F442" t="str">
        <f t="shared" si="12"/>
        <v>senior</v>
      </c>
      <c r="G442" t="s">
        <v>19</v>
      </c>
      <c r="H442" t="str">
        <f t="shared" si="13"/>
        <v>Dec</v>
      </c>
      <c r="I442" t="s">
        <v>20</v>
      </c>
      <c r="J442" t="s">
        <v>21</v>
      </c>
      <c r="K442" t="s">
        <v>914</v>
      </c>
      <c r="L442" t="s">
        <v>58</v>
      </c>
      <c r="M442" t="s">
        <v>76</v>
      </c>
      <c r="N442">
        <v>1</v>
      </c>
      <c r="O442" t="s">
        <v>25</v>
      </c>
      <c r="P442">
        <v>560</v>
      </c>
      <c r="Q442" t="s">
        <v>53</v>
      </c>
      <c r="R442" t="s">
        <v>54</v>
      </c>
      <c r="S442" t="s">
        <v>55</v>
      </c>
      <c r="T442" t="s">
        <v>29</v>
      </c>
      <c r="U442" t="s">
        <v>30</v>
      </c>
    </row>
    <row r="443" spans="1:21" x14ac:dyDescent="0.25">
      <c r="A443">
        <v>442</v>
      </c>
      <c r="B443" t="s">
        <v>915</v>
      </c>
      <c r="C443">
        <v>218076</v>
      </c>
      <c r="D443" t="s">
        <v>32</v>
      </c>
      <c r="E443">
        <v>25</v>
      </c>
      <c r="F443" t="str">
        <f t="shared" si="12"/>
        <v>teenager</v>
      </c>
      <c r="G443" t="s">
        <v>19</v>
      </c>
      <c r="H443" t="str">
        <f t="shared" si="13"/>
        <v>Dec</v>
      </c>
      <c r="I443" t="s">
        <v>20</v>
      </c>
      <c r="J443" t="s">
        <v>33</v>
      </c>
      <c r="K443" t="s">
        <v>916</v>
      </c>
      <c r="L443" t="s">
        <v>58</v>
      </c>
      <c r="M443" t="s">
        <v>35</v>
      </c>
      <c r="N443">
        <v>1</v>
      </c>
      <c r="O443" t="s">
        <v>25</v>
      </c>
      <c r="P443">
        <v>856</v>
      </c>
      <c r="Q443" t="s">
        <v>26</v>
      </c>
      <c r="R443" t="s">
        <v>27</v>
      </c>
      <c r="S443" t="s">
        <v>28</v>
      </c>
      <c r="T443" t="s">
        <v>29</v>
      </c>
      <c r="U443" t="s">
        <v>30</v>
      </c>
    </row>
    <row r="444" spans="1:21" x14ac:dyDescent="0.25">
      <c r="A444">
        <v>443</v>
      </c>
      <c r="B444" t="s">
        <v>917</v>
      </c>
      <c r="C444">
        <v>628428</v>
      </c>
      <c r="D444" t="s">
        <v>18</v>
      </c>
      <c r="E444">
        <v>19</v>
      </c>
      <c r="F444" t="str">
        <f t="shared" si="12"/>
        <v>teenager</v>
      </c>
      <c r="G444" t="s">
        <v>19</v>
      </c>
      <c r="H444" t="str">
        <f t="shared" si="13"/>
        <v>Dec</v>
      </c>
      <c r="I444" t="s">
        <v>20</v>
      </c>
      <c r="J444" t="s">
        <v>45</v>
      </c>
      <c r="K444" t="s">
        <v>918</v>
      </c>
      <c r="L444" t="s">
        <v>23</v>
      </c>
      <c r="M444" t="s">
        <v>50</v>
      </c>
      <c r="N444">
        <v>1</v>
      </c>
      <c r="O444" t="s">
        <v>25</v>
      </c>
      <c r="P444">
        <v>1767</v>
      </c>
      <c r="Q444" t="s">
        <v>26</v>
      </c>
      <c r="R444" t="s">
        <v>27</v>
      </c>
      <c r="S444" t="s">
        <v>28</v>
      </c>
      <c r="T444" t="s">
        <v>29</v>
      </c>
      <c r="U444" t="s">
        <v>43</v>
      </c>
    </row>
    <row r="445" spans="1:21" x14ac:dyDescent="0.25">
      <c r="A445">
        <v>444</v>
      </c>
      <c r="B445" t="s">
        <v>919</v>
      </c>
      <c r="C445">
        <v>996046</v>
      </c>
      <c r="D445" t="s">
        <v>32</v>
      </c>
      <c r="E445">
        <v>22</v>
      </c>
      <c r="F445" t="str">
        <f t="shared" si="12"/>
        <v>teenager</v>
      </c>
      <c r="G445" t="s">
        <v>19</v>
      </c>
      <c r="H445" t="str">
        <f t="shared" si="13"/>
        <v>Dec</v>
      </c>
      <c r="I445" t="s">
        <v>20</v>
      </c>
      <c r="J445" t="s">
        <v>33</v>
      </c>
      <c r="K445" t="s">
        <v>920</v>
      </c>
      <c r="L445" t="s">
        <v>23</v>
      </c>
      <c r="M445" t="s">
        <v>76</v>
      </c>
      <c r="N445">
        <v>1</v>
      </c>
      <c r="O445" t="s">
        <v>25</v>
      </c>
      <c r="P445">
        <v>531</v>
      </c>
      <c r="Q445" t="s">
        <v>26</v>
      </c>
      <c r="R445" t="s">
        <v>27</v>
      </c>
      <c r="S445" t="s">
        <v>28</v>
      </c>
      <c r="T445" t="s">
        <v>29</v>
      </c>
      <c r="U445" t="s">
        <v>30</v>
      </c>
    </row>
    <row r="446" spans="1:21" x14ac:dyDescent="0.25">
      <c r="A446">
        <v>445</v>
      </c>
      <c r="B446" t="s">
        <v>921</v>
      </c>
      <c r="C446">
        <v>108883</v>
      </c>
      <c r="D446" t="s">
        <v>18</v>
      </c>
      <c r="E446">
        <v>38</v>
      </c>
      <c r="F446" t="str">
        <f t="shared" si="12"/>
        <v>adult</v>
      </c>
      <c r="G446" t="s">
        <v>19</v>
      </c>
      <c r="H446" t="str">
        <f t="shared" si="13"/>
        <v>Dec</v>
      </c>
      <c r="I446" t="s">
        <v>20</v>
      </c>
      <c r="J446" t="s">
        <v>45</v>
      </c>
      <c r="K446" t="s">
        <v>922</v>
      </c>
      <c r="L446" t="s">
        <v>42</v>
      </c>
      <c r="M446" t="s">
        <v>47</v>
      </c>
      <c r="N446">
        <v>1</v>
      </c>
      <c r="O446" t="s">
        <v>25</v>
      </c>
      <c r="P446">
        <v>542</v>
      </c>
      <c r="Q446" t="s">
        <v>53</v>
      </c>
      <c r="R446" t="s">
        <v>54</v>
      </c>
      <c r="S446" t="s">
        <v>55</v>
      </c>
      <c r="T446" t="s">
        <v>29</v>
      </c>
      <c r="U446" t="s">
        <v>30</v>
      </c>
    </row>
    <row r="447" spans="1:21" x14ac:dyDescent="0.25">
      <c r="A447">
        <v>446</v>
      </c>
      <c r="B447" t="s">
        <v>923</v>
      </c>
      <c r="C447">
        <v>811395</v>
      </c>
      <c r="D447" t="s">
        <v>32</v>
      </c>
      <c r="E447">
        <v>68</v>
      </c>
      <c r="F447" t="str">
        <f t="shared" si="12"/>
        <v>senior</v>
      </c>
      <c r="G447" t="s">
        <v>19</v>
      </c>
      <c r="H447" t="str">
        <f t="shared" si="13"/>
        <v>Dec</v>
      </c>
      <c r="I447" t="s">
        <v>20</v>
      </c>
      <c r="J447" t="s">
        <v>33</v>
      </c>
      <c r="K447" t="s">
        <v>924</v>
      </c>
      <c r="L447" t="s">
        <v>58</v>
      </c>
      <c r="M447" t="s">
        <v>76</v>
      </c>
      <c r="N447">
        <v>1</v>
      </c>
      <c r="O447" t="s">
        <v>25</v>
      </c>
      <c r="P447">
        <v>1844</v>
      </c>
      <c r="Q447" t="s">
        <v>26</v>
      </c>
      <c r="R447" t="s">
        <v>27</v>
      </c>
      <c r="S447" t="s">
        <v>28</v>
      </c>
      <c r="T447" t="s">
        <v>29</v>
      </c>
      <c r="U447" t="s">
        <v>43</v>
      </c>
    </row>
    <row r="448" spans="1:21" x14ac:dyDescent="0.25">
      <c r="A448">
        <v>447</v>
      </c>
      <c r="B448" t="s">
        <v>925</v>
      </c>
      <c r="C448">
        <v>143415</v>
      </c>
      <c r="D448" t="s">
        <v>18</v>
      </c>
      <c r="E448">
        <v>57</v>
      </c>
      <c r="F448" t="str">
        <f t="shared" si="12"/>
        <v>senior</v>
      </c>
      <c r="G448" t="s">
        <v>19</v>
      </c>
      <c r="H448" t="str">
        <f t="shared" si="13"/>
        <v>Dec</v>
      </c>
      <c r="I448" t="s">
        <v>20</v>
      </c>
      <c r="J448" t="s">
        <v>40</v>
      </c>
      <c r="K448" t="s">
        <v>926</v>
      </c>
      <c r="L448" t="s">
        <v>58</v>
      </c>
      <c r="M448" t="s">
        <v>24</v>
      </c>
      <c r="N448">
        <v>1</v>
      </c>
      <c r="O448" t="s">
        <v>25</v>
      </c>
      <c r="P448">
        <v>1793</v>
      </c>
      <c r="Q448" t="s">
        <v>36</v>
      </c>
      <c r="R448" t="s">
        <v>37</v>
      </c>
      <c r="S448" t="s">
        <v>38</v>
      </c>
      <c r="T448" t="s">
        <v>29</v>
      </c>
      <c r="U448" t="s">
        <v>30</v>
      </c>
    </row>
    <row r="449" spans="1:21" x14ac:dyDescent="0.25">
      <c r="A449">
        <v>448</v>
      </c>
      <c r="B449" t="s">
        <v>927</v>
      </c>
      <c r="C449">
        <v>362627</v>
      </c>
      <c r="D449" t="s">
        <v>32</v>
      </c>
      <c r="E449">
        <v>42</v>
      </c>
      <c r="F449" t="str">
        <f t="shared" si="12"/>
        <v>adult</v>
      </c>
      <c r="G449" t="s">
        <v>19</v>
      </c>
      <c r="H449" t="str">
        <f t="shared" si="13"/>
        <v>Dec</v>
      </c>
      <c r="I449" t="s">
        <v>20</v>
      </c>
      <c r="J449" t="s">
        <v>33</v>
      </c>
      <c r="K449" t="s">
        <v>928</v>
      </c>
      <c r="L449" t="s">
        <v>42</v>
      </c>
      <c r="M449" t="s">
        <v>76</v>
      </c>
      <c r="N449">
        <v>1</v>
      </c>
      <c r="O449" t="s">
        <v>25</v>
      </c>
      <c r="P449">
        <v>897</v>
      </c>
      <c r="Q449" t="s">
        <v>36</v>
      </c>
      <c r="R449" t="s">
        <v>37</v>
      </c>
      <c r="S449" t="s">
        <v>38</v>
      </c>
      <c r="T449" t="s">
        <v>29</v>
      </c>
      <c r="U449" t="s">
        <v>43</v>
      </c>
    </row>
    <row r="450" spans="1:21" x14ac:dyDescent="0.25">
      <c r="A450">
        <v>449</v>
      </c>
      <c r="B450" t="s">
        <v>929</v>
      </c>
      <c r="C450">
        <v>993706</v>
      </c>
      <c r="D450" t="s">
        <v>18</v>
      </c>
      <c r="E450">
        <v>31</v>
      </c>
      <c r="F450" t="str">
        <f t="shared" si="12"/>
        <v>adult</v>
      </c>
      <c r="G450" t="s">
        <v>19</v>
      </c>
      <c r="H450" t="str">
        <f t="shared" si="13"/>
        <v>Dec</v>
      </c>
      <c r="I450" t="s">
        <v>20</v>
      </c>
      <c r="J450" t="s">
        <v>40</v>
      </c>
      <c r="K450" t="s">
        <v>930</v>
      </c>
      <c r="L450" t="s">
        <v>23</v>
      </c>
      <c r="M450" t="s">
        <v>47</v>
      </c>
      <c r="N450">
        <v>1</v>
      </c>
      <c r="O450" t="s">
        <v>25</v>
      </c>
      <c r="P450">
        <v>1296</v>
      </c>
      <c r="Q450" t="s">
        <v>53</v>
      </c>
      <c r="R450" t="s">
        <v>54</v>
      </c>
      <c r="S450" t="s">
        <v>55</v>
      </c>
      <c r="T450" t="s">
        <v>29</v>
      </c>
      <c r="U450" t="s">
        <v>30</v>
      </c>
    </row>
    <row r="451" spans="1:21" x14ac:dyDescent="0.25">
      <c r="A451">
        <v>450</v>
      </c>
      <c r="B451" t="s">
        <v>931</v>
      </c>
      <c r="C451">
        <v>687685</v>
      </c>
      <c r="D451" t="s">
        <v>32</v>
      </c>
      <c r="E451">
        <v>39</v>
      </c>
      <c r="F451" t="str">
        <f t="shared" ref="F451:F501" si="14">IF(E451&gt;=50,"senior",IF(E451&gt;=30,"adult","teenager"))</f>
        <v>adult</v>
      </c>
      <c r="G451" t="s">
        <v>19</v>
      </c>
      <c r="H451" t="str">
        <f t="shared" ref="H451:H501" si="15">TEXT(G451,"mmm")</f>
        <v>Dec</v>
      </c>
      <c r="I451" t="s">
        <v>20</v>
      </c>
      <c r="J451" t="s">
        <v>40</v>
      </c>
      <c r="K451" t="s">
        <v>311</v>
      </c>
      <c r="L451" t="s">
        <v>23</v>
      </c>
      <c r="M451" t="s">
        <v>47</v>
      </c>
      <c r="N451">
        <v>1</v>
      </c>
      <c r="O451" t="s">
        <v>25</v>
      </c>
      <c r="P451">
        <v>1463</v>
      </c>
      <c r="Q451" t="s">
        <v>53</v>
      </c>
      <c r="R451" t="s">
        <v>54</v>
      </c>
      <c r="S451" t="s">
        <v>55</v>
      </c>
      <c r="T451" t="s">
        <v>29</v>
      </c>
      <c r="U451" t="s">
        <v>30</v>
      </c>
    </row>
    <row r="452" spans="1:21" x14ac:dyDescent="0.25">
      <c r="A452">
        <v>451</v>
      </c>
      <c r="B452" t="s">
        <v>932</v>
      </c>
      <c r="C452">
        <v>634741</v>
      </c>
      <c r="D452" t="s">
        <v>18</v>
      </c>
      <c r="E452">
        <v>65</v>
      </c>
      <c r="F452" t="str">
        <f t="shared" si="14"/>
        <v>senior</v>
      </c>
      <c r="G452" t="s">
        <v>19</v>
      </c>
      <c r="H452" t="str">
        <f t="shared" si="15"/>
        <v>Dec</v>
      </c>
      <c r="I452" t="s">
        <v>20</v>
      </c>
      <c r="J452" t="s">
        <v>21</v>
      </c>
      <c r="K452" t="s">
        <v>933</v>
      </c>
      <c r="L452" t="s">
        <v>58</v>
      </c>
      <c r="M452" t="s">
        <v>50</v>
      </c>
      <c r="N452">
        <v>1</v>
      </c>
      <c r="O452" t="s">
        <v>25</v>
      </c>
      <c r="P452">
        <v>1270</v>
      </c>
      <c r="Q452" t="s">
        <v>53</v>
      </c>
      <c r="R452" t="s">
        <v>54</v>
      </c>
      <c r="S452" t="s">
        <v>55</v>
      </c>
      <c r="T452" t="s">
        <v>29</v>
      </c>
      <c r="U452" t="s">
        <v>43</v>
      </c>
    </row>
    <row r="453" spans="1:21" x14ac:dyDescent="0.25">
      <c r="A453">
        <v>452</v>
      </c>
      <c r="B453" t="s">
        <v>934</v>
      </c>
      <c r="C453">
        <v>271221</v>
      </c>
      <c r="D453" t="s">
        <v>32</v>
      </c>
      <c r="E453">
        <v>32</v>
      </c>
      <c r="F453" t="str">
        <f t="shared" si="14"/>
        <v>adult</v>
      </c>
      <c r="G453" t="s">
        <v>19</v>
      </c>
      <c r="H453" t="str">
        <f t="shared" si="15"/>
        <v>Dec</v>
      </c>
      <c r="I453" t="s">
        <v>20</v>
      </c>
      <c r="J453" t="s">
        <v>45</v>
      </c>
      <c r="K453" t="s">
        <v>935</v>
      </c>
      <c r="L453" t="s">
        <v>23</v>
      </c>
      <c r="M453" t="s">
        <v>76</v>
      </c>
      <c r="N453">
        <v>1</v>
      </c>
      <c r="O453" t="s">
        <v>25</v>
      </c>
      <c r="P453">
        <v>966</v>
      </c>
      <c r="Q453" t="s">
        <v>53</v>
      </c>
      <c r="R453" t="s">
        <v>54</v>
      </c>
      <c r="S453" t="s">
        <v>55</v>
      </c>
      <c r="T453" t="s">
        <v>29</v>
      </c>
      <c r="U453" t="s">
        <v>43</v>
      </c>
    </row>
    <row r="454" spans="1:21" x14ac:dyDescent="0.25">
      <c r="A454">
        <v>453</v>
      </c>
      <c r="B454" t="s">
        <v>936</v>
      </c>
      <c r="C454">
        <v>983035</v>
      </c>
      <c r="D454" t="s">
        <v>18</v>
      </c>
      <c r="E454">
        <v>39</v>
      </c>
      <c r="F454" t="str">
        <f t="shared" si="14"/>
        <v>adult</v>
      </c>
      <c r="G454" t="s">
        <v>19</v>
      </c>
      <c r="H454" t="str">
        <f t="shared" si="15"/>
        <v>Dec</v>
      </c>
      <c r="I454" t="s">
        <v>20</v>
      </c>
      <c r="J454" t="s">
        <v>33</v>
      </c>
      <c r="K454" t="s">
        <v>937</v>
      </c>
      <c r="L454" t="s">
        <v>42</v>
      </c>
      <c r="M454" t="s">
        <v>50</v>
      </c>
      <c r="N454">
        <v>1</v>
      </c>
      <c r="O454" t="s">
        <v>25</v>
      </c>
      <c r="P454">
        <v>1992</v>
      </c>
      <c r="Q454" t="s">
        <v>63</v>
      </c>
      <c r="R454" t="s">
        <v>64</v>
      </c>
      <c r="S454" t="s">
        <v>65</v>
      </c>
      <c r="T454" t="s">
        <v>29</v>
      </c>
      <c r="U454" t="s">
        <v>43</v>
      </c>
    </row>
    <row r="455" spans="1:21" x14ac:dyDescent="0.25">
      <c r="A455">
        <v>454</v>
      </c>
      <c r="B455" t="s">
        <v>938</v>
      </c>
      <c r="C455">
        <v>246776</v>
      </c>
      <c r="D455" t="s">
        <v>32</v>
      </c>
      <c r="E455">
        <v>66</v>
      </c>
      <c r="F455" t="str">
        <f t="shared" si="14"/>
        <v>senior</v>
      </c>
      <c r="G455" t="s">
        <v>19</v>
      </c>
      <c r="H455" t="str">
        <f t="shared" si="15"/>
        <v>Dec</v>
      </c>
      <c r="I455" t="s">
        <v>20</v>
      </c>
      <c r="J455" t="s">
        <v>40</v>
      </c>
      <c r="K455" t="s">
        <v>939</v>
      </c>
      <c r="L455" t="s">
        <v>23</v>
      </c>
      <c r="M455" t="s">
        <v>76</v>
      </c>
      <c r="N455">
        <v>1</v>
      </c>
      <c r="O455" t="s">
        <v>25</v>
      </c>
      <c r="P455">
        <v>1622</v>
      </c>
      <c r="Q455" t="s">
        <v>26</v>
      </c>
      <c r="R455" t="s">
        <v>27</v>
      </c>
      <c r="S455" t="s">
        <v>28</v>
      </c>
      <c r="T455" t="s">
        <v>29</v>
      </c>
      <c r="U455" t="s">
        <v>43</v>
      </c>
    </row>
    <row r="456" spans="1:21" x14ac:dyDescent="0.25">
      <c r="A456">
        <v>455</v>
      </c>
      <c r="B456" t="s">
        <v>940</v>
      </c>
      <c r="C456">
        <v>721464</v>
      </c>
      <c r="D456" t="s">
        <v>18</v>
      </c>
      <c r="E456">
        <v>18</v>
      </c>
      <c r="F456" t="str">
        <f t="shared" si="14"/>
        <v>teenager</v>
      </c>
      <c r="G456" t="s">
        <v>19</v>
      </c>
      <c r="H456" t="str">
        <f t="shared" si="15"/>
        <v>Dec</v>
      </c>
      <c r="I456" t="s">
        <v>20</v>
      </c>
      <c r="J456" t="s">
        <v>21</v>
      </c>
      <c r="K456" t="s">
        <v>941</v>
      </c>
      <c r="L456" t="s">
        <v>42</v>
      </c>
      <c r="M456" t="s">
        <v>47</v>
      </c>
      <c r="N456">
        <v>1</v>
      </c>
      <c r="O456" t="s">
        <v>25</v>
      </c>
      <c r="P456">
        <v>1781</v>
      </c>
      <c r="Q456" t="s">
        <v>63</v>
      </c>
      <c r="R456" t="s">
        <v>64</v>
      </c>
      <c r="S456" t="s">
        <v>65</v>
      </c>
      <c r="T456" t="s">
        <v>29</v>
      </c>
      <c r="U456" t="s">
        <v>43</v>
      </c>
    </row>
    <row r="457" spans="1:21" x14ac:dyDescent="0.25">
      <c r="A457">
        <v>456</v>
      </c>
      <c r="B457" t="s">
        <v>942</v>
      </c>
      <c r="C457">
        <v>211133</v>
      </c>
      <c r="D457" t="s">
        <v>32</v>
      </c>
      <c r="E457">
        <v>19</v>
      </c>
      <c r="F457" t="str">
        <f t="shared" si="14"/>
        <v>teenager</v>
      </c>
      <c r="G457" t="s">
        <v>19</v>
      </c>
      <c r="H457" t="str">
        <f t="shared" si="15"/>
        <v>Dec</v>
      </c>
      <c r="I457" t="s">
        <v>20</v>
      </c>
      <c r="J457" t="s">
        <v>45</v>
      </c>
      <c r="K457" t="s">
        <v>943</v>
      </c>
      <c r="L457" t="s">
        <v>58</v>
      </c>
      <c r="M457" t="s">
        <v>24</v>
      </c>
      <c r="N457">
        <v>1</v>
      </c>
      <c r="O457" t="s">
        <v>25</v>
      </c>
      <c r="P457">
        <v>836</v>
      </c>
      <c r="Q457" t="s">
        <v>26</v>
      </c>
      <c r="R457" t="s">
        <v>27</v>
      </c>
      <c r="S457" t="s">
        <v>28</v>
      </c>
      <c r="T457" t="s">
        <v>29</v>
      </c>
      <c r="U457" t="s">
        <v>43</v>
      </c>
    </row>
    <row r="458" spans="1:21" x14ac:dyDescent="0.25">
      <c r="A458">
        <v>457</v>
      </c>
      <c r="B458" t="s">
        <v>944</v>
      </c>
      <c r="C458">
        <v>749323</v>
      </c>
      <c r="D458" t="s">
        <v>18</v>
      </c>
      <c r="E458">
        <v>34</v>
      </c>
      <c r="F458" t="str">
        <f t="shared" si="14"/>
        <v>adult</v>
      </c>
      <c r="G458" t="s">
        <v>19</v>
      </c>
      <c r="H458" t="str">
        <f t="shared" si="15"/>
        <v>Dec</v>
      </c>
      <c r="I458" t="s">
        <v>20</v>
      </c>
      <c r="J458" t="s">
        <v>33</v>
      </c>
      <c r="K458" t="s">
        <v>945</v>
      </c>
      <c r="L458" t="s">
        <v>58</v>
      </c>
      <c r="M458" t="s">
        <v>76</v>
      </c>
      <c r="N458">
        <v>1</v>
      </c>
      <c r="O458" t="s">
        <v>25</v>
      </c>
      <c r="P458">
        <v>994</v>
      </c>
      <c r="Q458" t="s">
        <v>36</v>
      </c>
      <c r="R458" t="s">
        <v>37</v>
      </c>
      <c r="S458" t="s">
        <v>38</v>
      </c>
      <c r="T458" t="s">
        <v>29</v>
      </c>
      <c r="U458" t="s">
        <v>30</v>
      </c>
    </row>
    <row r="459" spans="1:21" x14ac:dyDescent="0.25">
      <c r="A459">
        <v>458</v>
      </c>
      <c r="B459" t="s">
        <v>946</v>
      </c>
      <c r="C459">
        <v>192543</v>
      </c>
      <c r="D459" t="s">
        <v>32</v>
      </c>
      <c r="E459">
        <v>41</v>
      </c>
      <c r="F459" t="str">
        <f t="shared" si="14"/>
        <v>adult</v>
      </c>
      <c r="G459" t="s">
        <v>19</v>
      </c>
      <c r="H459" t="str">
        <f t="shared" si="15"/>
        <v>Dec</v>
      </c>
      <c r="I459" t="s">
        <v>20</v>
      </c>
      <c r="J459" t="s">
        <v>45</v>
      </c>
      <c r="K459" t="s">
        <v>947</v>
      </c>
      <c r="L459" t="s">
        <v>58</v>
      </c>
      <c r="M459" t="s">
        <v>24</v>
      </c>
      <c r="N459">
        <v>1</v>
      </c>
      <c r="O459" t="s">
        <v>25</v>
      </c>
      <c r="P459">
        <v>1478</v>
      </c>
      <c r="Q459" t="s">
        <v>63</v>
      </c>
      <c r="R459" t="s">
        <v>64</v>
      </c>
      <c r="S459" t="s">
        <v>65</v>
      </c>
      <c r="T459" t="s">
        <v>29</v>
      </c>
      <c r="U459" t="s">
        <v>43</v>
      </c>
    </row>
    <row r="460" spans="1:21" x14ac:dyDescent="0.25">
      <c r="A460">
        <v>459</v>
      </c>
      <c r="B460" t="s">
        <v>948</v>
      </c>
      <c r="C460">
        <v>541844</v>
      </c>
      <c r="D460" t="s">
        <v>18</v>
      </c>
      <c r="E460">
        <v>41</v>
      </c>
      <c r="F460" t="str">
        <f t="shared" si="14"/>
        <v>adult</v>
      </c>
      <c r="G460" t="s">
        <v>19</v>
      </c>
      <c r="H460" t="str">
        <f t="shared" si="15"/>
        <v>Dec</v>
      </c>
      <c r="I460" t="s">
        <v>20</v>
      </c>
      <c r="J460" t="s">
        <v>40</v>
      </c>
      <c r="K460" t="s">
        <v>949</v>
      </c>
      <c r="L460" t="s">
        <v>42</v>
      </c>
      <c r="M460" t="s">
        <v>50</v>
      </c>
      <c r="N460">
        <v>1</v>
      </c>
      <c r="O460" t="s">
        <v>25</v>
      </c>
      <c r="P460">
        <v>735</v>
      </c>
      <c r="Q460" t="s">
        <v>36</v>
      </c>
      <c r="R460" t="s">
        <v>37</v>
      </c>
      <c r="S460" t="s">
        <v>38</v>
      </c>
      <c r="T460" t="s">
        <v>29</v>
      </c>
      <c r="U460" t="s">
        <v>30</v>
      </c>
    </row>
    <row r="461" spans="1:21" x14ac:dyDescent="0.25">
      <c r="A461">
        <v>460</v>
      </c>
      <c r="B461" t="s">
        <v>950</v>
      </c>
      <c r="C461">
        <v>807773</v>
      </c>
      <c r="D461" t="s">
        <v>32</v>
      </c>
      <c r="E461">
        <v>66</v>
      </c>
      <c r="F461" t="str">
        <f t="shared" si="14"/>
        <v>senior</v>
      </c>
      <c r="G461" t="s">
        <v>19</v>
      </c>
      <c r="H461" t="str">
        <f t="shared" si="15"/>
        <v>Dec</v>
      </c>
      <c r="I461" t="s">
        <v>20</v>
      </c>
      <c r="J461" t="s">
        <v>21</v>
      </c>
      <c r="K461" t="s">
        <v>951</v>
      </c>
      <c r="L461" t="s">
        <v>23</v>
      </c>
      <c r="M461" t="s">
        <v>50</v>
      </c>
      <c r="N461">
        <v>1</v>
      </c>
      <c r="O461" t="s">
        <v>25</v>
      </c>
      <c r="P461">
        <v>1872</v>
      </c>
      <c r="Q461" t="s">
        <v>53</v>
      </c>
      <c r="R461" t="s">
        <v>54</v>
      </c>
      <c r="S461" t="s">
        <v>55</v>
      </c>
      <c r="T461" t="s">
        <v>29</v>
      </c>
      <c r="U461" t="s">
        <v>43</v>
      </c>
    </row>
    <row r="462" spans="1:21" x14ac:dyDescent="0.25">
      <c r="A462">
        <v>461</v>
      </c>
      <c r="B462" t="s">
        <v>952</v>
      </c>
      <c r="C462">
        <v>345454</v>
      </c>
      <c r="D462" t="s">
        <v>18</v>
      </c>
      <c r="E462">
        <v>36</v>
      </c>
      <c r="F462" t="str">
        <f t="shared" si="14"/>
        <v>adult</v>
      </c>
      <c r="G462" t="s">
        <v>19</v>
      </c>
      <c r="H462" t="str">
        <f t="shared" si="15"/>
        <v>Dec</v>
      </c>
      <c r="I462" t="s">
        <v>20</v>
      </c>
      <c r="J462" t="s">
        <v>40</v>
      </c>
      <c r="K462" t="s">
        <v>953</v>
      </c>
      <c r="L462" t="s">
        <v>42</v>
      </c>
      <c r="M462" t="s">
        <v>50</v>
      </c>
      <c r="N462">
        <v>1</v>
      </c>
      <c r="O462" t="s">
        <v>25</v>
      </c>
      <c r="P462">
        <v>963</v>
      </c>
      <c r="Q462" t="s">
        <v>36</v>
      </c>
      <c r="R462" t="s">
        <v>37</v>
      </c>
      <c r="S462" t="s">
        <v>38</v>
      </c>
      <c r="T462" t="s">
        <v>29</v>
      </c>
      <c r="U462" t="s">
        <v>30</v>
      </c>
    </row>
    <row r="463" spans="1:21" x14ac:dyDescent="0.25">
      <c r="A463">
        <v>462</v>
      </c>
      <c r="B463" t="s">
        <v>954</v>
      </c>
      <c r="C463">
        <v>732116</v>
      </c>
      <c r="D463" t="s">
        <v>32</v>
      </c>
      <c r="E463">
        <v>60</v>
      </c>
      <c r="F463" t="str">
        <f t="shared" si="14"/>
        <v>senior</v>
      </c>
      <c r="G463" t="s">
        <v>19</v>
      </c>
      <c r="H463" t="str">
        <f t="shared" si="15"/>
        <v>Dec</v>
      </c>
      <c r="I463" t="s">
        <v>20</v>
      </c>
      <c r="J463" t="s">
        <v>40</v>
      </c>
      <c r="K463" t="s">
        <v>955</v>
      </c>
      <c r="L463" t="s">
        <v>23</v>
      </c>
      <c r="M463" t="s">
        <v>47</v>
      </c>
      <c r="N463">
        <v>1</v>
      </c>
      <c r="O463" t="s">
        <v>25</v>
      </c>
      <c r="P463">
        <v>1961</v>
      </c>
      <c r="Q463" t="s">
        <v>26</v>
      </c>
      <c r="R463" t="s">
        <v>27</v>
      </c>
      <c r="S463" t="s">
        <v>28</v>
      </c>
      <c r="T463" t="s">
        <v>29</v>
      </c>
      <c r="U463" t="s">
        <v>43</v>
      </c>
    </row>
    <row r="464" spans="1:21" x14ac:dyDescent="0.25">
      <c r="A464">
        <v>463</v>
      </c>
      <c r="B464" t="s">
        <v>956</v>
      </c>
      <c r="C464">
        <v>523876</v>
      </c>
      <c r="D464" t="s">
        <v>18</v>
      </c>
      <c r="E464">
        <v>61</v>
      </c>
      <c r="F464" t="str">
        <f t="shared" si="14"/>
        <v>senior</v>
      </c>
      <c r="G464" t="s">
        <v>19</v>
      </c>
      <c r="H464" t="str">
        <f t="shared" si="15"/>
        <v>Dec</v>
      </c>
      <c r="I464" t="s">
        <v>20</v>
      </c>
      <c r="J464" t="s">
        <v>45</v>
      </c>
      <c r="K464" t="s">
        <v>957</v>
      </c>
      <c r="L464" t="s">
        <v>42</v>
      </c>
      <c r="M464" t="s">
        <v>35</v>
      </c>
      <c r="N464">
        <v>1</v>
      </c>
      <c r="O464" t="s">
        <v>25</v>
      </c>
      <c r="P464">
        <v>1473</v>
      </c>
      <c r="Q464" t="s">
        <v>36</v>
      </c>
      <c r="R464" t="s">
        <v>37</v>
      </c>
      <c r="S464" t="s">
        <v>38</v>
      </c>
      <c r="T464" t="s">
        <v>29</v>
      </c>
      <c r="U464" t="s">
        <v>43</v>
      </c>
    </row>
    <row r="465" spans="1:21" x14ac:dyDescent="0.25">
      <c r="A465">
        <v>464</v>
      </c>
      <c r="B465" t="s">
        <v>958</v>
      </c>
      <c r="C465">
        <v>814010</v>
      </c>
      <c r="D465" t="s">
        <v>32</v>
      </c>
      <c r="E465">
        <v>69</v>
      </c>
      <c r="F465" t="str">
        <f t="shared" si="14"/>
        <v>senior</v>
      </c>
      <c r="G465" t="s">
        <v>19</v>
      </c>
      <c r="H465" t="str">
        <f t="shared" si="15"/>
        <v>Dec</v>
      </c>
      <c r="I465" t="s">
        <v>20</v>
      </c>
      <c r="J465" t="s">
        <v>45</v>
      </c>
      <c r="K465" t="s">
        <v>959</v>
      </c>
      <c r="L465" t="s">
        <v>23</v>
      </c>
      <c r="M465" t="s">
        <v>35</v>
      </c>
      <c r="N465">
        <v>1</v>
      </c>
      <c r="O465" t="s">
        <v>25</v>
      </c>
      <c r="P465">
        <v>1365</v>
      </c>
      <c r="Q465" t="s">
        <v>53</v>
      </c>
      <c r="R465" t="s">
        <v>54</v>
      </c>
      <c r="S465" t="s">
        <v>55</v>
      </c>
      <c r="T465" t="s">
        <v>29</v>
      </c>
      <c r="U465" t="s">
        <v>43</v>
      </c>
    </row>
    <row r="466" spans="1:21" x14ac:dyDescent="0.25">
      <c r="A466">
        <v>465</v>
      </c>
      <c r="B466" t="s">
        <v>960</v>
      </c>
      <c r="C466">
        <v>280764</v>
      </c>
      <c r="D466" t="s">
        <v>18</v>
      </c>
      <c r="E466">
        <v>50</v>
      </c>
      <c r="F466" t="str">
        <f t="shared" si="14"/>
        <v>senior</v>
      </c>
      <c r="G466" t="s">
        <v>19</v>
      </c>
      <c r="H466" t="str">
        <f t="shared" si="15"/>
        <v>Dec</v>
      </c>
      <c r="I466" t="s">
        <v>20</v>
      </c>
      <c r="J466" t="s">
        <v>21</v>
      </c>
      <c r="K466" t="s">
        <v>961</v>
      </c>
      <c r="L466" t="s">
        <v>42</v>
      </c>
      <c r="M466" t="s">
        <v>76</v>
      </c>
      <c r="N466">
        <v>1</v>
      </c>
      <c r="O466" t="s">
        <v>25</v>
      </c>
      <c r="P466">
        <v>383</v>
      </c>
      <c r="Q466" t="s">
        <v>36</v>
      </c>
      <c r="R466" t="s">
        <v>37</v>
      </c>
      <c r="S466" t="s">
        <v>38</v>
      </c>
      <c r="T466" t="s">
        <v>29</v>
      </c>
      <c r="U466" t="s">
        <v>43</v>
      </c>
    </row>
    <row r="467" spans="1:21" x14ac:dyDescent="0.25">
      <c r="A467">
        <v>466</v>
      </c>
      <c r="B467" t="s">
        <v>962</v>
      </c>
      <c r="C467">
        <v>110532</v>
      </c>
      <c r="D467" t="s">
        <v>32</v>
      </c>
      <c r="E467">
        <v>52</v>
      </c>
      <c r="F467" t="str">
        <f t="shared" si="14"/>
        <v>senior</v>
      </c>
      <c r="G467" t="s">
        <v>19</v>
      </c>
      <c r="H467" t="str">
        <f t="shared" si="15"/>
        <v>Dec</v>
      </c>
      <c r="I467" t="s">
        <v>20</v>
      </c>
      <c r="J467" t="s">
        <v>21</v>
      </c>
      <c r="K467" t="s">
        <v>963</v>
      </c>
      <c r="L467" t="s">
        <v>42</v>
      </c>
      <c r="M467" t="s">
        <v>47</v>
      </c>
      <c r="N467">
        <v>1</v>
      </c>
      <c r="O467" t="s">
        <v>25</v>
      </c>
      <c r="P467">
        <v>320</v>
      </c>
      <c r="Q467" t="s">
        <v>53</v>
      </c>
      <c r="R467" t="s">
        <v>54</v>
      </c>
      <c r="S467" t="s">
        <v>55</v>
      </c>
      <c r="T467" t="s">
        <v>29</v>
      </c>
      <c r="U467" t="s">
        <v>30</v>
      </c>
    </row>
    <row r="468" spans="1:21" x14ac:dyDescent="0.25">
      <c r="A468">
        <v>467</v>
      </c>
      <c r="B468" t="s">
        <v>964</v>
      </c>
      <c r="C468">
        <v>365341</v>
      </c>
      <c r="D468" t="s">
        <v>18</v>
      </c>
      <c r="E468">
        <v>52</v>
      </c>
      <c r="F468" t="str">
        <f t="shared" si="14"/>
        <v>senior</v>
      </c>
      <c r="G468" t="s">
        <v>19</v>
      </c>
      <c r="H468" t="str">
        <f t="shared" si="15"/>
        <v>Dec</v>
      </c>
      <c r="I468" t="s">
        <v>20</v>
      </c>
      <c r="J468" t="s">
        <v>33</v>
      </c>
      <c r="K468" t="s">
        <v>965</v>
      </c>
      <c r="L468" t="s">
        <v>58</v>
      </c>
      <c r="M468" t="s">
        <v>76</v>
      </c>
      <c r="N468">
        <v>1</v>
      </c>
      <c r="O468" t="s">
        <v>25</v>
      </c>
      <c r="P468">
        <v>1055</v>
      </c>
      <c r="Q468" t="s">
        <v>36</v>
      </c>
      <c r="R468" t="s">
        <v>37</v>
      </c>
      <c r="S468" t="s">
        <v>38</v>
      </c>
      <c r="T468" t="s">
        <v>29</v>
      </c>
      <c r="U468" t="s">
        <v>43</v>
      </c>
    </row>
    <row r="469" spans="1:21" x14ac:dyDescent="0.25">
      <c r="A469">
        <v>468</v>
      </c>
      <c r="B469" t="s">
        <v>966</v>
      </c>
      <c r="C469">
        <v>488142</v>
      </c>
      <c r="D469" t="s">
        <v>32</v>
      </c>
      <c r="E469">
        <v>44</v>
      </c>
      <c r="F469" t="str">
        <f t="shared" si="14"/>
        <v>adult</v>
      </c>
      <c r="G469" t="s">
        <v>19</v>
      </c>
      <c r="H469" t="str">
        <f t="shared" si="15"/>
        <v>Dec</v>
      </c>
      <c r="I469" t="s">
        <v>20</v>
      </c>
      <c r="J469" t="s">
        <v>33</v>
      </c>
      <c r="K469" t="s">
        <v>967</v>
      </c>
      <c r="L469" t="s">
        <v>58</v>
      </c>
      <c r="M469" t="s">
        <v>35</v>
      </c>
      <c r="N469">
        <v>1</v>
      </c>
      <c r="O469" t="s">
        <v>25</v>
      </c>
      <c r="P469">
        <v>1190</v>
      </c>
      <c r="Q469" t="s">
        <v>63</v>
      </c>
      <c r="R469" t="s">
        <v>64</v>
      </c>
      <c r="S469" t="s">
        <v>65</v>
      </c>
      <c r="T469" t="s">
        <v>29</v>
      </c>
      <c r="U469" t="s">
        <v>43</v>
      </c>
    </row>
    <row r="470" spans="1:21" x14ac:dyDescent="0.25">
      <c r="A470">
        <v>469</v>
      </c>
      <c r="B470" t="s">
        <v>968</v>
      </c>
      <c r="C470">
        <v>515920</v>
      </c>
      <c r="D470" t="s">
        <v>18</v>
      </c>
      <c r="E470">
        <v>22</v>
      </c>
      <c r="F470" t="str">
        <f t="shared" si="14"/>
        <v>teenager</v>
      </c>
      <c r="G470" t="s">
        <v>19</v>
      </c>
      <c r="H470" t="str">
        <f t="shared" si="15"/>
        <v>Dec</v>
      </c>
      <c r="I470" t="s">
        <v>20</v>
      </c>
      <c r="J470" t="s">
        <v>33</v>
      </c>
      <c r="K470" t="s">
        <v>969</v>
      </c>
      <c r="L470" t="s">
        <v>58</v>
      </c>
      <c r="M470" t="s">
        <v>50</v>
      </c>
      <c r="N470">
        <v>1</v>
      </c>
      <c r="O470" t="s">
        <v>25</v>
      </c>
      <c r="P470">
        <v>1529</v>
      </c>
      <c r="Q470" t="s">
        <v>63</v>
      </c>
      <c r="R470" t="s">
        <v>64</v>
      </c>
      <c r="S470" t="s">
        <v>65</v>
      </c>
      <c r="T470" t="s">
        <v>29</v>
      </c>
      <c r="U470" t="s">
        <v>43</v>
      </c>
    </row>
    <row r="471" spans="1:21" x14ac:dyDescent="0.25">
      <c r="A471">
        <v>470</v>
      </c>
      <c r="B471" t="s">
        <v>970</v>
      </c>
      <c r="C471">
        <v>434725</v>
      </c>
      <c r="D471" t="s">
        <v>32</v>
      </c>
      <c r="E471">
        <v>40</v>
      </c>
      <c r="F471" t="str">
        <f t="shared" si="14"/>
        <v>adult</v>
      </c>
      <c r="G471" t="s">
        <v>19</v>
      </c>
      <c r="H471" t="str">
        <f t="shared" si="15"/>
        <v>Dec</v>
      </c>
      <c r="I471" t="s">
        <v>20</v>
      </c>
      <c r="J471" t="s">
        <v>40</v>
      </c>
      <c r="K471" t="s">
        <v>971</v>
      </c>
      <c r="L471" t="s">
        <v>42</v>
      </c>
      <c r="M471" t="s">
        <v>24</v>
      </c>
      <c r="N471">
        <v>1</v>
      </c>
      <c r="O471" t="s">
        <v>25</v>
      </c>
      <c r="P471">
        <v>1236</v>
      </c>
      <c r="Q471" t="s">
        <v>63</v>
      </c>
      <c r="R471" t="s">
        <v>64</v>
      </c>
      <c r="S471" t="s">
        <v>65</v>
      </c>
      <c r="T471" t="s">
        <v>29</v>
      </c>
      <c r="U471" t="s">
        <v>30</v>
      </c>
    </row>
    <row r="472" spans="1:21" x14ac:dyDescent="0.25">
      <c r="A472">
        <v>471</v>
      </c>
      <c r="B472" t="s">
        <v>972</v>
      </c>
      <c r="C472">
        <v>458955</v>
      </c>
      <c r="D472" t="s">
        <v>18</v>
      </c>
      <c r="E472">
        <v>44</v>
      </c>
      <c r="F472" t="str">
        <f t="shared" si="14"/>
        <v>adult</v>
      </c>
      <c r="G472" t="s">
        <v>19</v>
      </c>
      <c r="H472" t="str">
        <f t="shared" si="15"/>
        <v>Dec</v>
      </c>
      <c r="I472" t="s">
        <v>20</v>
      </c>
      <c r="J472" t="s">
        <v>21</v>
      </c>
      <c r="K472" t="s">
        <v>973</v>
      </c>
      <c r="L472" t="s">
        <v>58</v>
      </c>
      <c r="M472" t="s">
        <v>24</v>
      </c>
      <c r="N472">
        <v>1</v>
      </c>
      <c r="O472" t="s">
        <v>25</v>
      </c>
      <c r="P472">
        <v>1148</v>
      </c>
      <c r="Q472" t="s">
        <v>53</v>
      </c>
      <c r="R472" t="s">
        <v>54</v>
      </c>
      <c r="S472" t="s">
        <v>55</v>
      </c>
      <c r="T472" t="s">
        <v>29</v>
      </c>
      <c r="U472" t="s">
        <v>43</v>
      </c>
    </row>
    <row r="473" spans="1:21" x14ac:dyDescent="0.25">
      <c r="A473">
        <v>472</v>
      </c>
      <c r="B473" t="s">
        <v>974</v>
      </c>
      <c r="C473">
        <v>284695</v>
      </c>
      <c r="D473" t="s">
        <v>32</v>
      </c>
      <c r="E473">
        <v>64</v>
      </c>
      <c r="F473" t="str">
        <f t="shared" si="14"/>
        <v>senior</v>
      </c>
      <c r="G473" t="s">
        <v>19</v>
      </c>
      <c r="H473" t="str">
        <f t="shared" si="15"/>
        <v>Dec</v>
      </c>
      <c r="I473" t="s">
        <v>20</v>
      </c>
      <c r="J473" t="s">
        <v>21</v>
      </c>
      <c r="K473" t="s">
        <v>975</v>
      </c>
      <c r="L473" t="s">
        <v>42</v>
      </c>
      <c r="M473" t="s">
        <v>47</v>
      </c>
      <c r="N473">
        <v>1</v>
      </c>
      <c r="O473" t="s">
        <v>25</v>
      </c>
      <c r="P473">
        <v>337</v>
      </c>
      <c r="Q473" t="s">
        <v>36</v>
      </c>
      <c r="R473" t="s">
        <v>37</v>
      </c>
      <c r="S473" t="s">
        <v>38</v>
      </c>
      <c r="T473" t="s">
        <v>29</v>
      </c>
      <c r="U473" t="s">
        <v>30</v>
      </c>
    </row>
    <row r="474" spans="1:21" x14ac:dyDescent="0.25">
      <c r="A474">
        <v>473</v>
      </c>
      <c r="B474" t="s">
        <v>976</v>
      </c>
      <c r="C474">
        <v>953335</v>
      </c>
      <c r="D474" t="s">
        <v>18</v>
      </c>
      <c r="E474">
        <v>22</v>
      </c>
      <c r="F474" t="str">
        <f t="shared" si="14"/>
        <v>teenager</v>
      </c>
      <c r="G474" t="s">
        <v>19</v>
      </c>
      <c r="H474" t="str">
        <f t="shared" si="15"/>
        <v>Dec</v>
      </c>
      <c r="I474" t="s">
        <v>20</v>
      </c>
      <c r="J474" t="s">
        <v>40</v>
      </c>
      <c r="K474" t="s">
        <v>977</v>
      </c>
      <c r="L474" t="s">
        <v>58</v>
      </c>
      <c r="M474" t="s">
        <v>24</v>
      </c>
      <c r="N474">
        <v>1</v>
      </c>
      <c r="O474" t="s">
        <v>25</v>
      </c>
      <c r="P474">
        <v>1260</v>
      </c>
      <c r="Q474" t="s">
        <v>53</v>
      </c>
      <c r="R474" t="s">
        <v>54</v>
      </c>
      <c r="S474" t="s">
        <v>55</v>
      </c>
      <c r="T474" t="s">
        <v>29</v>
      </c>
      <c r="U474" t="s">
        <v>30</v>
      </c>
    </row>
    <row r="475" spans="1:21" x14ac:dyDescent="0.25">
      <c r="A475">
        <v>474</v>
      </c>
      <c r="B475" t="s">
        <v>978</v>
      </c>
      <c r="C475">
        <v>724000</v>
      </c>
      <c r="D475" t="s">
        <v>32</v>
      </c>
      <c r="E475">
        <v>37</v>
      </c>
      <c r="F475" t="str">
        <f t="shared" si="14"/>
        <v>adult</v>
      </c>
      <c r="G475" t="s">
        <v>19</v>
      </c>
      <c r="H475" t="str">
        <f t="shared" si="15"/>
        <v>Dec</v>
      </c>
      <c r="I475" t="s">
        <v>20</v>
      </c>
      <c r="J475" t="s">
        <v>45</v>
      </c>
      <c r="K475" t="s">
        <v>979</v>
      </c>
      <c r="L475" t="s">
        <v>42</v>
      </c>
      <c r="M475" t="s">
        <v>47</v>
      </c>
      <c r="N475">
        <v>1</v>
      </c>
      <c r="O475" t="s">
        <v>25</v>
      </c>
      <c r="P475">
        <v>1149</v>
      </c>
      <c r="Q475" t="s">
        <v>53</v>
      </c>
      <c r="R475" t="s">
        <v>54</v>
      </c>
      <c r="S475" t="s">
        <v>55</v>
      </c>
      <c r="T475" t="s">
        <v>29</v>
      </c>
      <c r="U475" t="s">
        <v>30</v>
      </c>
    </row>
    <row r="476" spans="1:21" x14ac:dyDescent="0.25">
      <c r="A476">
        <v>475</v>
      </c>
      <c r="B476" t="s">
        <v>980</v>
      </c>
      <c r="C476">
        <v>425694</v>
      </c>
      <c r="D476" t="s">
        <v>18</v>
      </c>
      <c r="E476">
        <v>60</v>
      </c>
      <c r="F476" t="str">
        <f t="shared" si="14"/>
        <v>senior</v>
      </c>
      <c r="G476" t="s">
        <v>19</v>
      </c>
      <c r="H476" t="str">
        <f t="shared" si="15"/>
        <v>Dec</v>
      </c>
      <c r="I476" t="s">
        <v>20</v>
      </c>
      <c r="J476" t="s">
        <v>40</v>
      </c>
      <c r="K476" t="s">
        <v>981</v>
      </c>
      <c r="L476" t="s">
        <v>23</v>
      </c>
      <c r="M476" t="s">
        <v>24</v>
      </c>
      <c r="N476">
        <v>1</v>
      </c>
      <c r="O476" t="s">
        <v>25</v>
      </c>
      <c r="P476">
        <v>1138</v>
      </c>
      <c r="Q476" t="s">
        <v>36</v>
      </c>
      <c r="R476" t="s">
        <v>37</v>
      </c>
      <c r="S476" t="s">
        <v>38</v>
      </c>
      <c r="T476" t="s">
        <v>29</v>
      </c>
      <c r="U476" t="s">
        <v>30</v>
      </c>
    </row>
    <row r="477" spans="1:21" x14ac:dyDescent="0.25">
      <c r="A477">
        <v>476</v>
      </c>
      <c r="B477" t="s">
        <v>982</v>
      </c>
      <c r="C477">
        <v>927467</v>
      </c>
      <c r="D477" t="s">
        <v>32</v>
      </c>
      <c r="E477">
        <v>41</v>
      </c>
      <c r="F477" t="str">
        <f t="shared" si="14"/>
        <v>adult</v>
      </c>
      <c r="G477" t="s">
        <v>19</v>
      </c>
      <c r="H477" t="str">
        <f t="shared" si="15"/>
        <v>Dec</v>
      </c>
      <c r="I477" t="s">
        <v>20</v>
      </c>
      <c r="J477" t="s">
        <v>33</v>
      </c>
      <c r="K477" t="s">
        <v>983</v>
      </c>
      <c r="L477" t="s">
        <v>42</v>
      </c>
      <c r="M477" t="s">
        <v>35</v>
      </c>
      <c r="N477">
        <v>1</v>
      </c>
      <c r="O477" t="s">
        <v>25</v>
      </c>
      <c r="P477">
        <v>1021</v>
      </c>
      <c r="Q477" t="s">
        <v>26</v>
      </c>
      <c r="R477" t="s">
        <v>27</v>
      </c>
      <c r="S477" t="s">
        <v>28</v>
      </c>
      <c r="T477" t="s">
        <v>29</v>
      </c>
      <c r="U477" t="s">
        <v>43</v>
      </c>
    </row>
    <row r="478" spans="1:21" x14ac:dyDescent="0.25">
      <c r="A478">
        <v>477</v>
      </c>
      <c r="B478" t="s">
        <v>984</v>
      </c>
      <c r="C478">
        <v>501106</v>
      </c>
      <c r="D478" t="s">
        <v>18</v>
      </c>
      <c r="E478">
        <v>35</v>
      </c>
      <c r="F478" t="str">
        <f t="shared" si="14"/>
        <v>adult</v>
      </c>
      <c r="G478" t="s">
        <v>19</v>
      </c>
      <c r="H478" t="str">
        <f t="shared" si="15"/>
        <v>Dec</v>
      </c>
      <c r="I478" t="s">
        <v>20</v>
      </c>
      <c r="J478" t="s">
        <v>45</v>
      </c>
      <c r="K478" t="s">
        <v>985</v>
      </c>
      <c r="L478" t="s">
        <v>42</v>
      </c>
      <c r="M478" t="s">
        <v>76</v>
      </c>
      <c r="N478">
        <v>1</v>
      </c>
      <c r="O478" t="s">
        <v>25</v>
      </c>
      <c r="P478">
        <v>740</v>
      </c>
      <c r="Q478" t="s">
        <v>26</v>
      </c>
      <c r="R478" t="s">
        <v>27</v>
      </c>
      <c r="S478" t="s">
        <v>28</v>
      </c>
      <c r="T478" t="s">
        <v>29</v>
      </c>
      <c r="U478" t="s">
        <v>43</v>
      </c>
    </row>
    <row r="479" spans="1:21" x14ac:dyDescent="0.25">
      <c r="A479">
        <v>478</v>
      </c>
      <c r="B479" t="s">
        <v>986</v>
      </c>
      <c r="C479">
        <v>909360</v>
      </c>
      <c r="D479" t="s">
        <v>32</v>
      </c>
      <c r="E479">
        <v>25</v>
      </c>
      <c r="F479" t="str">
        <f t="shared" si="14"/>
        <v>teenager</v>
      </c>
      <c r="G479" t="s">
        <v>19</v>
      </c>
      <c r="H479" t="str">
        <f t="shared" si="15"/>
        <v>Dec</v>
      </c>
      <c r="I479" t="s">
        <v>20</v>
      </c>
      <c r="J479" t="s">
        <v>21</v>
      </c>
      <c r="K479" t="s">
        <v>987</v>
      </c>
      <c r="L479" t="s">
        <v>42</v>
      </c>
      <c r="M479" t="s">
        <v>47</v>
      </c>
      <c r="N479">
        <v>1</v>
      </c>
      <c r="O479" t="s">
        <v>25</v>
      </c>
      <c r="P479">
        <v>569</v>
      </c>
      <c r="Q479" t="s">
        <v>63</v>
      </c>
      <c r="R479" t="s">
        <v>64</v>
      </c>
      <c r="S479" t="s">
        <v>65</v>
      </c>
      <c r="T479" t="s">
        <v>29</v>
      </c>
      <c r="U479" t="s">
        <v>43</v>
      </c>
    </row>
    <row r="480" spans="1:21" x14ac:dyDescent="0.25">
      <c r="A480">
        <v>479</v>
      </c>
      <c r="B480" t="s">
        <v>988</v>
      </c>
      <c r="C480">
        <v>626308</v>
      </c>
      <c r="D480" t="s">
        <v>18</v>
      </c>
      <c r="E480">
        <v>39</v>
      </c>
      <c r="F480" t="str">
        <f t="shared" si="14"/>
        <v>adult</v>
      </c>
      <c r="G480" t="s">
        <v>19</v>
      </c>
      <c r="H480" t="str">
        <f t="shared" si="15"/>
        <v>Dec</v>
      </c>
      <c r="I480" t="s">
        <v>20</v>
      </c>
      <c r="J480" t="s">
        <v>21</v>
      </c>
      <c r="K480" t="s">
        <v>989</v>
      </c>
      <c r="L480" t="s">
        <v>23</v>
      </c>
      <c r="M480" t="s">
        <v>76</v>
      </c>
      <c r="N480">
        <v>1</v>
      </c>
      <c r="O480" t="s">
        <v>25</v>
      </c>
      <c r="P480">
        <v>656</v>
      </c>
      <c r="Q480" t="s">
        <v>53</v>
      </c>
      <c r="R480" t="s">
        <v>54</v>
      </c>
      <c r="S480" t="s">
        <v>55</v>
      </c>
      <c r="T480" t="s">
        <v>29</v>
      </c>
      <c r="U480" t="s">
        <v>30</v>
      </c>
    </row>
    <row r="481" spans="1:21" x14ac:dyDescent="0.25">
      <c r="A481">
        <v>480</v>
      </c>
      <c r="B481" t="s">
        <v>990</v>
      </c>
      <c r="C481">
        <v>719138</v>
      </c>
      <c r="D481" t="s">
        <v>32</v>
      </c>
      <c r="E481">
        <v>31</v>
      </c>
      <c r="F481" t="str">
        <f t="shared" si="14"/>
        <v>adult</v>
      </c>
      <c r="G481" t="s">
        <v>19</v>
      </c>
      <c r="H481" t="str">
        <f t="shared" si="15"/>
        <v>Dec</v>
      </c>
      <c r="I481" t="s">
        <v>20</v>
      </c>
      <c r="J481" t="s">
        <v>33</v>
      </c>
      <c r="K481" t="s">
        <v>991</v>
      </c>
      <c r="L481" t="s">
        <v>58</v>
      </c>
      <c r="M481" t="s">
        <v>50</v>
      </c>
      <c r="N481">
        <v>1</v>
      </c>
      <c r="O481" t="s">
        <v>25</v>
      </c>
      <c r="P481">
        <v>730</v>
      </c>
      <c r="Q481" t="s">
        <v>53</v>
      </c>
      <c r="R481" t="s">
        <v>54</v>
      </c>
      <c r="S481" t="s">
        <v>55</v>
      </c>
      <c r="T481" t="s">
        <v>29</v>
      </c>
      <c r="U481" t="s">
        <v>43</v>
      </c>
    </row>
    <row r="482" spans="1:21" x14ac:dyDescent="0.25">
      <c r="A482">
        <v>481</v>
      </c>
      <c r="B482" t="s">
        <v>992</v>
      </c>
      <c r="C482">
        <v>900277</v>
      </c>
      <c r="D482" t="s">
        <v>18</v>
      </c>
      <c r="E482">
        <v>67</v>
      </c>
      <c r="F482" t="str">
        <f t="shared" si="14"/>
        <v>senior</v>
      </c>
      <c r="G482" t="s">
        <v>19</v>
      </c>
      <c r="H482" t="str">
        <f t="shared" si="15"/>
        <v>Dec</v>
      </c>
      <c r="I482" t="s">
        <v>20</v>
      </c>
      <c r="J482" t="s">
        <v>40</v>
      </c>
      <c r="K482" t="s">
        <v>993</v>
      </c>
      <c r="L482" t="s">
        <v>23</v>
      </c>
      <c r="M482" t="s">
        <v>24</v>
      </c>
      <c r="N482">
        <v>1</v>
      </c>
      <c r="O482" t="s">
        <v>25</v>
      </c>
      <c r="P482">
        <v>801</v>
      </c>
      <c r="Q482" t="s">
        <v>53</v>
      </c>
      <c r="R482" t="s">
        <v>54</v>
      </c>
      <c r="S482" t="s">
        <v>55</v>
      </c>
      <c r="T482" t="s">
        <v>29</v>
      </c>
      <c r="U482" t="s">
        <v>30</v>
      </c>
    </row>
    <row r="483" spans="1:21" x14ac:dyDescent="0.25">
      <c r="A483">
        <v>482</v>
      </c>
      <c r="B483" t="s">
        <v>994</v>
      </c>
      <c r="C483">
        <v>542338</v>
      </c>
      <c r="D483" t="s">
        <v>32</v>
      </c>
      <c r="E483">
        <v>43</v>
      </c>
      <c r="F483" t="str">
        <f t="shared" si="14"/>
        <v>adult</v>
      </c>
      <c r="G483" t="s">
        <v>19</v>
      </c>
      <c r="H483" t="str">
        <f t="shared" si="15"/>
        <v>Dec</v>
      </c>
      <c r="I483" t="s">
        <v>20</v>
      </c>
      <c r="J483" t="s">
        <v>45</v>
      </c>
      <c r="K483" t="s">
        <v>995</v>
      </c>
      <c r="L483" t="s">
        <v>42</v>
      </c>
      <c r="M483" t="s">
        <v>47</v>
      </c>
      <c r="N483">
        <v>1</v>
      </c>
      <c r="O483" t="s">
        <v>25</v>
      </c>
      <c r="P483">
        <v>1161</v>
      </c>
      <c r="Q483" t="s">
        <v>26</v>
      </c>
      <c r="R483" t="s">
        <v>27</v>
      </c>
      <c r="S483" t="s">
        <v>28</v>
      </c>
      <c r="T483" t="s">
        <v>29</v>
      </c>
      <c r="U483" t="s">
        <v>30</v>
      </c>
    </row>
    <row r="484" spans="1:21" x14ac:dyDescent="0.25">
      <c r="A484">
        <v>483</v>
      </c>
      <c r="B484" t="s">
        <v>996</v>
      </c>
      <c r="C484">
        <v>470639</v>
      </c>
      <c r="D484" t="s">
        <v>18</v>
      </c>
      <c r="E484">
        <v>65</v>
      </c>
      <c r="F484" t="str">
        <f t="shared" si="14"/>
        <v>senior</v>
      </c>
      <c r="G484" t="s">
        <v>19</v>
      </c>
      <c r="H484" t="str">
        <f t="shared" si="15"/>
        <v>Dec</v>
      </c>
      <c r="I484" t="s">
        <v>20</v>
      </c>
      <c r="J484" t="s">
        <v>40</v>
      </c>
      <c r="K484" t="s">
        <v>997</v>
      </c>
      <c r="L484" t="s">
        <v>42</v>
      </c>
      <c r="M484" t="s">
        <v>35</v>
      </c>
      <c r="N484">
        <v>1</v>
      </c>
      <c r="O484" t="s">
        <v>25</v>
      </c>
      <c r="P484">
        <v>321</v>
      </c>
      <c r="Q484" t="s">
        <v>26</v>
      </c>
      <c r="R484" t="s">
        <v>27</v>
      </c>
      <c r="S484" t="s">
        <v>28</v>
      </c>
      <c r="T484" t="s">
        <v>29</v>
      </c>
      <c r="U484" t="s">
        <v>30</v>
      </c>
    </row>
    <row r="485" spans="1:21" x14ac:dyDescent="0.25">
      <c r="A485">
        <v>484</v>
      </c>
      <c r="B485" t="s">
        <v>998</v>
      </c>
      <c r="C485">
        <v>580852</v>
      </c>
      <c r="D485" t="s">
        <v>32</v>
      </c>
      <c r="E485">
        <v>34</v>
      </c>
      <c r="F485" t="str">
        <f t="shared" si="14"/>
        <v>adult</v>
      </c>
      <c r="G485" t="s">
        <v>19</v>
      </c>
      <c r="H485" t="str">
        <f t="shared" si="15"/>
        <v>Dec</v>
      </c>
      <c r="I485" t="s">
        <v>20</v>
      </c>
      <c r="J485" t="s">
        <v>21</v>
      </c>
      <c r="K485" t="s">
        <v>999</v>
      </c>
      <c r="L485" t="s">
        <v>42</v>
      </c>
      <c r="M485" t="s">
        <v>24</v>
      </c>
      <c r="N485">
        <v>1</v>
      </c>
      <c r="O485" t="s">
        <v>25</v>
      </c>
      <c r="P485">
        <v>1798</v>
      </c>
      <c r="Q485" t="s">
        <v>36</v>
      </c>
      <c r="R485" t="s">
        <v>37</v>
      </c>
      <c r="S485" t="s">
        <v>38</v>
      </c>
      <c r="T485" t="s">
        <v>29</v>
      </c>
      <c r="U485" t="s">
        <v>30</v>
      </c>
    </row>
    <row r="486" spans="1:21" x14ac:dyDescent="0.25">
      <c r="A486">
        <v>485</v>
      </c>
      <c r="B486" t="s">
        <v>1000</v>
      </c>
      <c r="C486">
        <v>754840</v>
      </c>
      <c r="D486" t="s">
        <v>18</v>
      </c>
      <c r="E486">
        <v>66</v>
      </c>
      <c r="F486" t="str">
        <f t="shared" si="14"/>
        <v>senior</v>
      </c>
      <c r="G486" t="s">
        <v>19</v>
      </c>
      <c r="H486" t="str">
        <f t="shared" si="15"/>
        <v>Dec</v>
      </c>
      <c r="I486" t="s">
        <v>20</v>
      </c>
      <c r="J486" t="s">
        <v>45</v>
      </c>
      <c r="K486" t="s">
        <v>1001</v>
      </c>
      <c r="L486" t="s">
        <v>23</v>
      </c>
      <c r="M486" t="s">
        <v>76</v>
      </c>
      <c r="N486">
        <v>1</v>
      </c>
      <c r="O486" t="s">
        <v>25</v>
      </c>
      <c r="P486">
        <v>1111</v>
      </c>
      <c r="Q486" t="s">
        <v>63</v>
      </c>
      <c r="R486" t="s">
        <v>64</v>
      </c>
      <c r="S486" t="s">
        <v>65</v>
      </c>
      <c r="T486" t="s">
        <v>29</v>
      </c>
      <c r="U486" t="s">
        <v>43</v>
      </c>
    </row>
    <row r="487" spans="1:21" x14ac:dyDescent="0.25">
      <c r="A487">
        <v>486</v>
      </c>
      <c r="B487" t="s">
        <v>1002</v>
      </c>
      <c r="C487">
        <v>834741</v>
      </c>
      <c r="D487" t="s">
        <v>32</v>
      </c>
      <c r="E487">
        <v>57</v>
      </c>
      <c r="F487" t="str">
        <f t="shared" si="14"/>
        <v>senior</v>
      </c>
      <c r="G487" t="s">
        <v>19</v>
      </c>
      <c r="H487" t="str">
        <f t="shared" si="15"/>
        <v>Dec</v>
      </c>
      <c r="I487" t="s">
        <v>20</v>
      </c>
      <c r="J487" t="s">
        <v>40</v>
      </c>
      <c r="K487" t="s">
        <v>1003</v>
      </c>
      <c r="L487" t="s">
        <v>23</v>
      </c>
      <c r="M487" t="s">
        <v>47</v>
      </c>
      <c r="N487">
        <v>1</v>
      </c>
      <c r="O487" t="s">
        <v>25</v>
      </c>
      <c r="P487">
        <v>973</v>
      </c>
      <c r="Q487" t="s">
        <v>26</v>
      </c>
      <c r="R487" t="s">
        <v>27</v>
      </c>
      <c r="S487" t="s">
        <v>28</v>
      </c>
      <c r="T487" t="s">
        <v>29</v>
      </c>
      <c r="U487" t="s">
        <v>43</v>
      </c>
    </row>
    <row r="488" spans="1:21" x14ac:dyDescent="0.25">
      <c r="A488">
        <v>487</v>
      </c>
      <c r="B488" t="s">
        <v>1004</v>
      </c>
      <c r="C488">
        <v>347934</v>
      </c>
      <c r="D488" t="s">
        <v>18</v>
      </c>
      <c r="E488">
        <v>43</v>
      </c>
      <c r="F488" t="str">
        <f t="shared" si="14"/>
        <v>adult</v>
      </c>
      <c r="G488" t="s">
        <v>19</v>
      </c>
      <c r="H488" t="str">
        <f t="shared" si="15"/>
        <v>Dec</v>
      </c>
      <c r="I488" t="s">
        <v>20</v>
      </c>
      <c r="J488" t="s">
        <v>40</v>
      </c>
      <c r="K488" t="s">
        <v>1005</v>
      </c>
      <c r="L488" t="s">
        <v>58</v>
      </c>
      <c r="M488" t="s">
        <v>47</v>
      </c>
      <c r="N488">
        <v>1</v>
      </c>
      <c r="O488" t="s">
        <v>25</v>
      </c>
      <c r="P488">
        <v>1854</v>
      </c>
      <c r="Q488" t="s">
        <v>36</v>
      </c>
      <c r="R488" t="s">
        <v>37</v>
      </c>
      <c r="S488" t="s">
        <v>38</v>
      </c>
      <c r="T488" t="s">
        <v>29</v>
      </c>
      <c r="U488" t="s">
        <v>30</v>
      </c>
    </row>
    <row r="489" spans="1:21" x14ac:dyDescent="0.25">
      <c r="A489">
        <v>488</v>
      </c>
      <c r="B489" t="s">
        <v>1006</v>
      </c>
      <c r="C489">
        <v>561007</v>
      </c>
      <c r="D489" t="s">
        <v>32</v>
      </c>
      <c r="E489">
        <v>36</v>
      </c>
      <c r="F489" t="str">
        <f t="shared" si="14"/>
        <v>adult</v>
      </c>
      <c r="G489" t="s">
        <v>19</v>
      </c>
      <c r="H489" t="str">
        <f t="shared" si="15"/>
        <v>Dec</v>
      </c>
      <c r="I489" t="s">
        <v>20</v>
      </c>
      <c r="J489" t="s">
        <v>40</v>
      </c>
      <c r="K489" t="s">
        <v>1007</v>
      </c>
      <c r="L489" t="s">
        <v>42</v>
      </c>
      <c r="M489" t="s">
        <v>50</v>
      </c>
      <c r="N489">
        <v>1</v>
      </c>
      <c r="O489" t="s">
        <v>25</v>
      </c>
      <c r="P489">
        <v>954</v>
      </c>
      <c r="Q489" t="s">
        <v>53</v>
      </c>
      <c r="R489" t="s">
        <v>54</v>
      </c>
      <c r="S489" t="s">
        <v>55</v>
      </c>
      <c r="T489" t="s">
        <v>29</v>
      </c>
      <c r="U489" t="s">
        <v>43</v>
      </c>
    </row>
    <row r="490" spans="1:21" x14ac:dyDescent="0.25">
      <c r="A490">
        <v>489</v>
      </c>
      <c r="B490" t="s">
        <v>1008</v>
      </c>
      <c r="C490">
        <v>868141</v>
      </c>
      <c r="D490" t="s">
        <v>18</v>
      </c>
      <c r="E490">
        <v>30</v>
      </c>
      <c r="F490" t="str">
        <f t="shared" si="14"/>
        <v>adult</v>
      </c>
      <c r="G490" t="s">
        <v>19</v>
      </c>
      <c r="H490" t="str">
        <f t="shared" si="15"/>
        <v>Dec</v>
      </c>
      <c r="I490" t="s">
        <v>20</v>
      </c>
      <c r="J490" t="s">
        <v>40</v>
      </c>
      <c r="K490" t="s">
        <v>1009</v>
      </c>
      <c r="L490" t="s">
        <v>42</v>
      </c>
      <c r="M490" t="s">
        <v>24</v>
      </c>
      <c r="N490">
        <v>1</v>
      </c>
      <c r="O490" t="s">
        <v>25</v>
      </c>
      <c r="P490">
        <v>1151</v>
      </c>
      <c r="Q490" t="s">
        <v>63</v>
      </c>
      <c r="R490" t="s">
        <v>64</v>
      </c>
      <c r="S490" t="s">
        <v>65</v>
      </c>
      <c r="T490" t="s">
        <v>29</v>
      </c>
      <c r="U490" t="s">
        <v>43</v>
      </c>
    </row>
    <row r="491" spans="1:21" x14ac:dyDescent="0.25">
      <c r="A491">
        <v>490</v>
      </c>
      <c r="B491" t="s">
        <v>1010</v>
      </c>
      <c r="C491">
        <v>507394</v>
      </c>
      <c r="D491" t="s">
        <v>32</v>
      </c>
      <c r="E491">
        <v>33</v>
      </c>
      <c r="F491" t="str">
        <f t="shared" si="14"/>
        <v>adult</v>
      </c>
      <c r="G491" t="s">
        <v>19</v>
      </c>
      <c r="H491" t="str">
        <f t="shared" si="15"/>
        <v>Dec</v>
      </c>
      <c r="I491" t="s">
        <v>20</v>
      </c>
      <c r="J491" t="s">
        <v>33</v>
      </c>
      <c r="K491" t="s">
        <v>1011</v>
      </c>
      <c r="L491" t="s">
        <v>23</v>
      </c>
      <c r="M491" t="s">
        <v>47</v>
      </c>
      <c r="N491">
        <v>1</v>
      </c>
      <c r="O491" t="s">
        <v>25</v>
      </c>
      <c r="P491">
        <v>1751</v>
      </c>
      <c r="Q491" t="s">
        <v>36</v>
      </c>
      <c r="R491" t="s">
        <v>37</v>
      </c>
      <c r="S491" t="s">
        <v>38</v>
      </c>
      <c r="T491" t="s">
        <v>29</v>
      </c>
      <c r="U491" t="s">
        <v>43</v>
      </c>
    </row>
    <row r="492" spans="1:21" x14ac:dyDescent="0.25">
      <c r="A492">
        <v>491</v>
      </c>
      <c r="B492" t="s">
        <v>1012</v>
      </c>
      <c r="C492">
        <v>717316</v>
      </c>
      <c r="D492" t="s">
        <v>18</v>
      </c>
      <c r="E492">
        <v>58</v>
      </c>
      <c r="F492" t="str">
        <f t="shared" si="14"/>
        <v>senior</v>
      </c>
      <c r="G492" t="s">
        <v>19</v>
      </c>
      <c r="H492" t="str">
        <f t="shared" si="15"/>
        <v>Dec</v>
      </c>
      <c r="I492" t="s">
        <v>20</v>
      </c>
      <c r="J492" t="s">
        <v>21</v>
      </c>
      <c r="K492" t="s">
        <v>1013</v>
      </c>
      <c r="L492" t="s">
        <v>23</v>
      </c>
      <c r="M492" t="s">
        <v>24</v>
      </c>
      <c r="N492">
        <v>1</v>
      </c>
      <c r="O492" t="s">
        <v>25</v>
      </c>
      <c r="P492">
        <v>1733</v>
      </c>
      <c r="Q492" t="s">
        <v>63</v>
      </c>
      <c r="R492" t="s">
        <v>64</v>
      </c>
      <c r="S492" t="s">
        <v>65</v>
      </c>
      <c r="T492" t="s">
        <v>29</v>
      </c>
      <c r="U492" t="s">
        <v>30</v>
      </c>
    </row>
    <row r="493" spans="1:21" x14ac:dyDescent="0.25">
      <c r="A493">
        <v>492</v>
      </c>
      <c r="B493" t="s">
        <v>1014</v>
      </c>
      <c r="C493">
        <v>541077</v>
      </c>
      <c r="D493" t="s">
        <v>32</v>
      </c>
      <c r="E493">
        <v>64</v>
      </c>
      <c r="F493" t="str">
        <f t="shared" si="14"/>
        <v>senior</v>
      </c>
      <c r="G493" t="s">
        <v>19</v>
      </c>
      <c r="H493" t="str">
        <f t="shared" si="15"/>
        <v>Dec</v>
      </c>
      <c r="I493" t="s">
        <v>20</v>
      </c>
      <c r="J493" t="s">
        <v>45</v>
      </c>
      <c r="K493" t="s">
        <v>1015</v>
      </c>
      <c r="L493" t="s">
        <v>23</v>
      </c>
      <c r="M493" t="s">
        <v>24</v>
      </c>
      <c r="N493">
        <v>1</v>
      </c>
      <c r="O493" t="s">
        <v>25</v>
      </c>
      <c r="P493">
        <v>1064</v>
      </c>
      <c r="Q493" t="s">
        <v>63</v>
      </c>
      <c r="R493" t="s">
        <v>64</v>
      </c>
      <c r="S493" t="s">
        <v>65</v>
      </c>
      <c r="T493" t="s">
        <v>29</v>
      </c>
      <c r="U493" t="s">
        <v>30</v>
      </c>
    </row>
    <row r="494" spans="1:21" x14ac:dyDescent="0.25">
      <c r="A494">
        <v>493</v>
      </c>
      <c r="B494" t="s">
        <v>1016</v>
      </c>
      <c r="C494">
        <v>946395</v>
      </c>
      <c r="D494" t="s">
        <v>18</v>
      </c>
      <c r="E494">
        <v>33</v>
      </c>
      <c r="F494" t="str">
        <f t="shared" si="14"/>
        <v>adult</v>
      </c>
      <c r="G494" t="s">
        <v>19</v>
      </c>
      <c r="H494" t="str">
        <f t="shared" si="15"/>
        <v>Dec</v>
      </c>
      <c r="I494" t="s">
        <v>20</v>
      </c>
      <c r="J494" t="s">
        <v>33</v>
      </c>
      <c r="K494" t="s">
        <v>1017</v>
      </c>
      <c r="L494" t="s">
        <v>58</v>
      </c>
      <c r="M494" t="s">
        <v>35</v>
      </c>
      <c r="N494">
        <v>1</v>
      </c>
      <c r="O494" t="s">
        <v>25</v>
      </c>
      <c r="P494">
        <v>715</v>
      </c>
      <c r="Q494" t="s">
        <v>36</v>
      </c>
      <c r="R494" t="s">
        <v>37</v>
      </c>
      <c r="S494" t="s">
        <v>38</v>
      </c>
      <c r="T494" t="s">
        <v>29</v>
      </c>
      <c r="U494" t="s">
        <v>43</v>
      </c>
    </row>
    <row r="495" spans="1:21" x14ac:dyDescent="0.25">
      <c r="A495">
        <v>494</v>
      </c>
      <c r="B495" t="s">
        <v>1018</v>
      </c>
      <c r="C495">
        <v>266422</v>
      </c>
      <c r="D495" t="s">
        <v>32</v>
      </c>
      <c r="E495">
        <v>36</v>
      </c>
      <c r="F495" t="str">
        <f t="shared" si="14"/>
        <v>adult</v>
      </c>
      <c r="G495" t="s">
        <v>19</v>
      </c>
      <c r="H495" t="str">
        <f t="shared" si="15"/>
        <v>Dec</v>
      </c>
      <c r="I495" t="s">
        <v>20</v>
      </c>
      <c r="J495" t="s">
        <v>45</v>
      </c>
      <c r="K495" t="s">
        <v>1019</v>
      </c>
      <c r="L495" t="s">
        <v>23</v>
      </c>
      <c r="M495" t="s">
        <v>47</v>
      </c>
      <c r="N495">
        <v>1</v>
      </c>
      <c r="O495" t="s">
        <v>25</v>
      </c>
      <c r="P495">
        <v>623</v>
      </c>
      <c r="Q495" t="s">
        <v>36</v>
      </c>
      <c r="R495" t="s">
        <v>37</v>
      </c>
      <c r="S495" t="s">
        <v>38</v>
      </c>
      <c r="T495" t="s">
        <v>29</v>
      </c>
      <c r="U495" t="s">
        <v>30</v>
      </c>
    </row>
    <row r="496" spans="1:21" x14ac:dyDescent="0.25">
      <c r="A496">
        <v>495</v>
      </c>
      <c r="B496" t="s">
        <v>1020</v>
      </c>
      <c r="C496">
        <v>562384</v>
      </c>
      <c r="D496" t="s">
        <v>18</v>
      </c>
      <c r="E496">
        <v>31</v>
      </c>
      <c r="F496" t="str">
        <f t="shared" si="14"/>
        <v>adult</v>
      </c>
      <c r="G496" t="s">
        <v>19</v>
      </c>
      <c r="H496" t="str">
        <f t="shared" si="15"/>
        <v>Dec</v>
      </c>
      <c r="I496" t="s">
        <v>20</v>
      </c>
      <c r="J496" t="s">
        <v>21</v>
      </c>
      <c r="K496" t="s">
        <v>1021</v>
      </c>
      <c r="L496" t="s">
        <v>42</v>
      </c>
      <c r="M496" t="s">
        <v>76</v>
      </c>
      <c r="N496">
        <v>1</v>
      </c>
      <c r="O496" t="s">
        <v>25</v>
      </c>
      <c r="P496">
        <v>1061</v>
      </c>
      <c r="Q496" t="s">
        <v>63</v>
      </c>
      <c r="R496" t="s">
        <v>64</v>
      </c>
      <c r="S496" t="s">
        <v>65</v>
      </c>
      <c r="T496" t="s">
        <v>29</v>
      </c>
      <c r="U496" t="s">
        <v>43</v>
      </c>
    </row>
    <row r="497" spans="1:21" x14ac:dyDescent="0.25">
      <c r="A497">
        <v>496</v>
      </c>
      <c r="B497" t="s">
        <v>1022</v>
      </c>
      <c r="C497">
        <v>764302</v>
      </c>
      <c r="D497" t="s">
        <v>32</v>
      </c>
      <c r="E497">
        <v>38</v>
      </c>
      <c r="F497" t="str">
        <f t="shared" si="14"/>
        <v>adult</v>
      </c>
      <c r="G497" t="s">
        <v>19</v>
      </c>
      <c r="H497" t="str">
        <f t="shared" si="15"/>
        <v>Dec</v>
      </c>
      <c r="I497" t="s">
        <v>20</v>
      </c>
      <c r="J497" t="s">
        <v>21</v>
      </c>
      <c r="K497" t="s">
        <v>1023</v>
      </c>
      <c r="L497" t="s">
        <v>58</v>
      </c>
      <c r="M497" t="s">
        <v>76</v>
      </c>
      <c r="N497">
        <v>1</v>
      </c>
      <c r="O497" t="s">
        <v>25</v>
      </c>
      <c r="P497">
        <v>1883</v>
      </c>
      <c r="Q497" t="s">
        <v>53</v>
      </c>
      <c r="R497" t="s">
        <v>54</v>
      </c>
      <c r="S497" t="s">
        <v>55</v>
      </c>
      <c r="T497" t="s">
        <v>29</v>
      </c>
      <c r="U497" t="s">
        <v>30</v>
      </c>
    </row>
    <row r="498" spans="1:21" x14ac:dyDescent="0.25">
      <c r="A498">
        <v>497</v>
      </c>
      <c r="B498" t="s">
        <v>1024</v>
      </c>
      <c r="C498">
        <v>884498</v>
      </c>
      <c r="D498" t="s">
        <v>18</v>
      </c>
      <c r="E498">
        <v>37</v>
      </c>
      <c r="F498" t="str">
        <f t="shared" si="14"/>
        <v>adult</v>
      </c>
      <c r="G498" t="s">
        <v>19</v>
      </c>
      <c r="H498" t="str">
        <f t="shared" si="15"/>
        <v>Dec</v>
      </c>
      <c r="I498" t="s">
        <v>20</v>
      </c>
      <c r="J498" t="s">
        <v>45</v>
      </c>
      <c r="K498" t="s">
        <v>1025</v>
      </c>
      <c r="L498" t="s">
        <v>23</v>
      </c>
      <c r="M498" t="s">
        <v>50</v>
      </c>
      <c r="N498">
        <v>1</v>
      </c>
      <c r="O498" t="s">
        <v>25</v>
      </c>
      <c r="P498">
        <v>824</v>
      </c>
      <c r="Q498" t="s">
        <v>53</v>
      </c>
      <c r="R498" t="s">
        <v>54</v>
      </c>
      <c r="S498" t="s">
        <v>55</v>
      </c>
      <c r="T498" t="s">
        <v>29</v>
      </c>
      <c r="U498" t="s">
        <v>30</v>
      </c>
    </row>
    <row r="499" spans="1:21" x14ac:dyDescent="0.25">
      <c r="A499">
        <v>498</v>
      </c>
      <c r="B499" t="s">
        <v>1026</v>
      </c>
      <c r="C499">
        <v>274105</v>
      </c>
      <c r="D499" t="s">
        <v>32</v>
      </c>
      <c r="E499">
        <v>52</v>
      </c>
      <c r="F499" t="str">
        <f t="shared" si="14"/>
        <v>senior</v>
      </c>
      <c r="G499" t="s">
        <v>19</v>
      </c>
      <c r="H499" t="str">
        <f t="shared" si="15"/>
        <v>Dec</v>
      </c>
      <c r="I499" t="s">
        <v>20</v>
      </c>
      <c r="J499" t="s">
        <v>21</v>
      </c>
      <c r="K499" t="s">
        <v>1027</v>
      </c>
      <c r="L499" t="s">
        <v>42</v>
      </c>
      <c r="M499" t="s">
        <v>47</v>
      </c>
      <c r="N499">
        <v>1</v>
      </c>
      <c r="O499" t="s">
        <v>25</v>
      </c>
      <c r="P499">
        <v>1512</v>
      </c>
      <c r="Q499" t="s">
        <v>63</v>
      </c>
      <c r="R499" t="s">
        <v>64</v>
      </c>
      <c r="S499" t="s">
        <v>65</v>
      </c>
      <c r="T499" t="s">
        <v>29</v>
      </c>
      <c r="U499" t="s">
        <v>43</v>
      </c>
    </row>
    <row r="500" spans="1:21" x14ac:dyDescent="0.25">
      <c r="A500">
        <v>499</v>
      </c>
      <c r="B500" t="s">
        <v>1028</v>
      </c>
      <c r="C500">
        <v>157384</v>
      </c>
      <c r="D500" t="s">
        <v>18</v>
      </c>
      <c r="E500">
        <v>57</v>
      </c>
      <c r="F500" t="str">
        <f t="shared" si="14"/>
        <v>senior</v>
      </c>
      <c r="G500" t="s">
        <v>19</v>
      </c>
      <c r="H500" t="str">
        <f t="shared" si="15"/>
        <v>Dec</v>
      </c>
      <c r="I500" t="s">
        <v>20</v>
      </c>
      <c r="J500" t="s">
        <v>45</v>
      </c>
      <c r="K500" t="s">
        <v>1029</v>
      </c>
      <c r="L500" t="s">
        <v>23</v>
      </c>
      <c r="M500" t="s">
        <v>50</v>
      </c>
      <c r="N500">
        <v>1</v>
      </c>
      <c r="O500" t="s">
        <v>25</v>
      </c>
      <c r="P500">
        <v>1800</v>
      </c>
      <c r="Q500" t="s">
        <v>63</v>
      </c>
      <c r="R500" t="s">
        <v>64</v>
      </c>
      <c r="S500" t="s">
        <v>65</v>
      </c>
      <c r="T500" t="s">
        <v>29</v>
      </c>
      <c r="U500" t="s">
        <v>43</v>
      </c>
    </row>
    <row r="501" spans="1:21" x14ac:dyDescent="0.25">
      <c r="A501">
        <v>500</v>
      </c>
      <c r="B501" t="s">
        <v>1030</v>
      </c>
      <c r="C501">
        <v>364724</v>
      </c>
      <c r="D501" t="s">
        <v>32</v>
      </c>
      <c r="E501">
        <v>21</v>
      </c>
      <c r="F501" t="str">
        <f t="shared" si="14"/>
        <v>teenager</v>
      </c>
      <c r="G501" t="s">
        <v>19</v>
      </c>
      <c r="H501" t="str">
        <f t="shared" si="15"/>
        <v>Dec</v>
      </c>
      <c r="I501" t="s">
        <v>20</v>
      </c>
      <c r="J501" t="s">
        <v>33</v>
      </c>
      <c r="K501" t="s">
        <v>1031</v>
      </c>
      <c r="L501" t="s">
        <v>58</v>
      </c>
      <c r="M501" t="s">
        <v>76</v>
      </c>
      <c r="N501">
        <v>1</v>
      </c>
      <c r="O501" t="s">
        <v>25</v>
      </c>
      <c r="P501">
        <v>1776</v>
      </c>
      <c r="Q501" t="s">
        <v>63</v>
      </c>
      <c r="R501" t="s">
        <v>64</v>
      </c>
      <c r="S501" t="s">
        <v>65</v>
      </c>
      <c r="T501" t="s">
        <v>29</v>
      </c>
      <c r="U501" t="s">
        <v>43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Vrinda Store Report 2026</vt:lpstr>
      <vt:lpstr>Sales Vs Order</vt:lpstr>
      <vt:lpstr>Men Va Women</vt:lpstr>
      <vt:lpstr>Order Status</vt:lpstr>
      <vt:lpstr>Top 5 States</vt:lpstr>
      <vt:lpstr>Order Age Vs Gender</vt:lpstr>
      <vt:lpstr>ordwe channel</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2026-07-31T02:17:19Z</dcterms:created>
  <dcterms:modified xsi:type="dcterms:W3CDTF">2026-07-31T06:55:20Z</dcterms:modified>
</cp:coreProperties>
</file>